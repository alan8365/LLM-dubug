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yxu/PycharmProjects/debug/src/"/>
    </mc:Choice>
  </mc:AlternateContent>
  <xr:revisionPtr revIDLastSave="0" documentId="8_{1AB17D1C-62D4-BE47-A6DE-CFE73FDB0C0C}" xr6:coauthVersionLast="47" xr6:coauthVersionMax="47" xr10:uidLastSave="{00000000-0000-0000-0000-000000000000}"/>
  <bookViews>
    <workbookView xWindow="0" yWindow="500" windowWidth="28800" windowHeight="17500" xr2:uid="{05C147E9-4BAD-E644-B4E4-6E5FDCC273C6}"/>
  </bookViews>
  <sheets>
    <sheet name="correct_ratio_df" sheetId="15" r:id="rId1"/>
    <sheet name="model comparsion" sheetId="16" r:id="rId2"/>
    <sheet name="prompt comparsion" sheetId="17" r:id="rId3"/>
    <sheet name="stable and avaliable" sheetId="10" r:id="rId4"/>
    <sheet name="Sheet19" sheetId="26" r:id="rId5"/>
    <sheet name="correct_ratio_df (3)" sheetId="25" r:id="rId6"/>
  </sheets>
  <definedNames>
    <definedName name="ExternalData_1" localSheetId="0" hidden="1">correct_ratio_df!$A$1:$K$481</definedName>
    <definedName name="ExternalData_1" localSheetId="5" hidden="1">'correct_ratio_df (3)'!$A$1:$K$481</definedName>
  </definedNames>
  <calcPr calcId="191029"/>
  <pivotCaches>
    <pivotCache cacheId="167" r:id="rId7"/>
    <pivotCache cacheId="17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5" l="1"/>
  <c r="L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65" i="25"/>
  <c r="L66" i="25"/>
  <c r="L67" i="25"/>
  <c r="L68" i="25"/>
  <c r="L69" i="25"/>
  <c r="L70" i="25"/>
  <c r="L71" i="25"/>
  <c r="L72" i="25"/>
  <c r="L73" i="25"/>
  <c r="L74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89" i="25"/>
  <c r="L90" i="25"/>
  <c r="L91" i="25"/>
  <c r="L92" i="25"/>
  <c r="L93" i="25"/>
  <c r="L94" i="25"/>
  <c r="L95" i="25"/>
  <c r="L96" i="25"/>
  <c r="L97" i="25"/>
  <c r="L98" i="25"/>
  <c r="L99" i="25"/>
  <c r="L100" i="25"/>
  <c r="L101" i="25"/>
  <c r="L102" i="25"/>
  <c r="L103" i="25"/>
  <c r="L104" i="25"/>
  <c r="L105" i="25"/>
  <c r="L106" i="25"/>
  <c r="L107" i="25"/>
  <c r="L108" i="25"/>
  <c r="L109" i="25"/>
  <c r="L110" i="25"/>
  <c r="L111" i="25"/>
  <c r="L112" i="25"/>
  <c r="L113" i="25"/>
  <c r="L114" i="25"/>
  <c r="L115" i="25"/>
  <c r="L116" i="25"/>
  <c r="L117" i="25"/>
  <c r="L118" i="25"/>
  <c r="L119" i="25"/>
  <c r="L120" i="25"/>
  <c r="L121" i="25"/>
  <c r="L122" i="25"/>
  <c r="L123" i="25"/>
  <c r="L124" i="25"/>
  <c r="L125" i="25"/>
  <c r="L126" i="25"/>
  <c r="L127" i="25"/>
  <c r="L128" i="25"/>
  <c r="L129" i="25"/>
  <c r="L130" i="25"/>
  <c r="L131" i="25"/>
  <c r="L132" i="25"/>
  <c r="L133" i="25"/>
  <c r="L134" i="25"/>
  <c r="L135" i="25"/>
  <c r="L136" i="25"/>
  <c r="L137" i="25"/>
  <c r="L138" i="25"/>
  <c r="L139" i="25"/>
  <c r="L140" i="25"/>
  <c r="L141" i="25"/>
  <c r="L142" i="25"/>
  <c r="L143" i="25"/>
  <c r="L144" i="25"/>
  <c r="L145" i="25"/>
  <c r="L146" i="25"/>
  <c r="L147" i="25"/>
  <c r="L148" i="25"/>
  <c r="L149" i="25"/>
  <c r="L150" i="25"/>
  <c r="L151" i="25"/>
  <c r="L152" i="25"/>
  <c r="L153" i="25"/>
  <c r="L154" i="25"/>
  <c r="L155" i="25"/>
  <c r="L156" i="25"/>
  <c r="L157" i="25"/>
  <c r="L158" i="25"/>
  <c r="L159" i="25"/>
  <c r="L160" i="25"/>
  <c r="L161" i="25"/>
  <c r="L162" i="25"/>
  <c r="L163" i="25"/>
  <c r="L164" i="25"/>
  <c r="L165" i="25"/>
  <c r="L166" i="25"/>
  <c r="L167" i="25"/>
  <c r="L168" i="25"/>
  <c r="L169" i="25"/>
  <c r="L170" i="25"/>
  <c r="L171" i="25"/>
  <c r="L172" i="25"/>
  <c r="L173" i="25"/>
  <c r="L174" i="25"/>
  <c r="L175" i="25"/>
  <c r="L176" i="25"/>
  <c r="L177" i="25"/>
  <c r="L178" i="25"/>
  <c r="L179" i="25"/>
  <c r="L180" i="25"/>
  <c r="L181" i="25"/>
  <c r="L182" i="25"/>
  <c r="L183" i="25"/>
  <c r="L184" i="25"/>
  <c r="L185" i="25"/>
  <c r="L186" i="25"/>
  <c r="L187" i="25"/>
  <c r="L188" i="25"/>
  <c r="L189" i="25"/>
  <c r="L190" i="25"/>
  <c r="L191" i="25"/>
  <c r="L192" i="25"/>
  <c r="L193" i="25"/>
  <c r="L194" i="25"/>
  <c r="L195" i="25"/>
  <c r="L196" i="25"/>
  <c r="L197" i="25"/>
  <c r="L198" i="25"/>
  <c r="L199" i="25"/>
  <c r="L200" i="25"/>
  <c r="L201" i="25"/>
  <c r="L202" i="25"/>
  <c r="L203" i="25"/>
  <c r="L204" i="25"/>
  <c r="L205" i="25"/>
  <c r="L206" i="25"/>
  <c r="L207" i="25"/>
  <c r="L208" i="25"/>
  <c r="L209" i="25"/>
  <c r="L210" i="25"/>
  <c r="L211" i="25"/>
  <c r="L212" i="25"/>
  <c r="L213" i="25"/>
  <c r="L214" i="25"/>
  <c r="L215" i="25"/>
  <c r="L216" i="25"/>
  <c r="L217" i="25"/>
  <c r="L218" i="25"/>
  <c r="L219" i="25"/>
  <c r="L220" i="25"/>
  <c r="L221" i="25"/>
  <c r="L222" i="25"/>
  <c r="L223" i="25"/>
  <c r="L224" i="25"/>
  <c r="L225" i="25"/>
  <c r="L226" i="25"/>
  <c r="L227" i="25"/>
  <c r="L228" i="25"/>
  <c r="L229" i="25"/>
  <c r="L230" i="25"/>
  <c r="L231" i="25"/>
  <c r="L232" i="25"/>
  <c r="L233" i="25"/>
  <c r="L234" i="25"/>
  <c r="L235" i="25"/>
  <c r="L236" i="25"/>
  <c r="L237" i="25"/>
  <c r="L238" i="25"/>
  <c r="L239" i="25"/>
  <c r="L240" i="25"/>
  <c r="L241" i="25"/>
  <c r="L242" i="25"/>
  <c r="L243" i="25"/>
  <c r="L244" i="25"/>
  <c r="L245" i="25"/>
  <c r="L246" i="25"/>
  <c r="L247" i="25"/>
  <c r="L248" i="25"/>
  <c r="L249" i="25"/>
  <c r="L250" i="25"/>
  <c r="L251" i="25"/>
  <c r="L252" i="25"/>
  <c r="L253" i="25"/>
  <c r="L254" i="25"/>
  <c r="L255" i="25"/>
  <c r="L256" i="25"/>
  <c r="L257" i="25"/>
  <c r="L258" i="25"/>
  <c r="L259" i="25"/>
  <c r="L260" i="25"/>
  <c r="L261" i="25"/>
  <c r="L262" i="25"/>
  <c r="L263" i="25"/>
  <c r="L264" i="25"/>
  <c r="L265" i="25"/>
  <c r="L266" i="25"/>
  <c r="L267" i="25"/>
  <c r="L268" i="25"/>
  <c r="L269" i="25"/>
  <c r="L270" i="25"/>
  <c r="L271" i="25"/>
  <c r="L272" i="25"/>
  <c r="L273" i="25"/>
  <c r="L274" i="25"/>
  <c r="L275" i="25"/>
  <c r="L276" i="25"/>
  <c r="L277" i="25"/>
  <c r="L278" i="25"/>
  <c r="L279" i="25"/>
  <c r="L280" i="25"/>
  <c r="L281" i="25"/>
  <c r="L282" i="25"/>
  <c r="L283" i="25"/>
  <c r="L284" i="25"/>
  <c r="L285" i="25"/>
  <c r="L286" i="25"/>
  <c r="L287" i="25"/>
  <c r="L288" i="25"/>
  <c r="L289" i="25"/>
  <c r="L290" i="25"/>
  <c r="L291" i="25"/>
  <c r="L292" i="25"/>
  <c r="L293" i="25"/>
  <c r="L294" i="25"/>
  <c r="L295" i="25"/>
  <c r="L296" i="25"/>
  <c r="L297" i="25"/>
  <c r="L298" i="25"/>
  <c r="L299" i="25"/>
  <c r="L300" i="25"/>
  <c r="L301" i="25"/>
  <c r="L302" i="25"/>
  <c r="L303" i="25"/>
  <c r="L304" i="25"/>
  <c r="L305" i="25"/>
  <c r="L306" i="25"/>
  <c r="L307" i="25"/>
  <c r="L308" i="25"/>
  <c r="L309" i="25"/>
  <c r="L310" i="25"/>
  <c r="L311" i="25"/>
  <c r="L312" i="25"/>
  <c r="L313" i="25"/>
  <c r="L314" i="25"/>
  <c r="L315" i="25"/>
  <c r="L316" i="25"/>
  <c r="L317" i="25"/>
  <c r="L318" i="25"/>
  <c r="L319" i="25"/>
  <c r="L320" i="25"/>
  <c r="L321" i="25"/>
  <c r="L322" i="25"/>
  <c r="L323" i="25"/>
  <c r="L324" i="25"/>
  <c r="L325" i="25"/>
  <c r="L326" i="25"/>
  <c r="L327" i="25"/>
  <c r="L328" i="25"/>
  <c r="L329" i="25"/>
  <c r="L330" i="25"/>
  <c r="L331" i="25"/>
  <c r="L332" i="25"/>
  <c r="L333" i="25"/>
  <c r="L334" i="25"/>
  <c r="L335" i="25"/>
  <c r="L336" i="25"/>
  <c r="L337" i="25"/>
  <c r="L338" i="25"/>
  <c r="L339" i="25"/>
  <c r="L340" i="25"/>
  <c r="L341" i="25"/>
  <c r="L342" i="25"/>
  <c r="L343" i="25"/>
  <c r="L344" i="25"/>
  <c r="L345" i="25"/>
  <c r="L346" i="25"/>
  <c r="L347" i="25"/>
  <c r="L348" i="25"/>
  <c r="L349" i="25"/>
  <c r="L350" i="25"/>
  <c r="L351" i="25"/>
  <c r="L352" i="25"/>
  <c r="L353" i="25"/>
  <c r="L354" i="25"/>
  <c r="L355" i="25"/>
  <c r="L356" i="25"/>
  <c r="L357" i="25"/>
  <c r="L358" i="25"/>
  <c r="L359" i="25"/>
  <c r="L360" i="25"/>
  <c r="L361" i="25"/>
  <c r="L362" i="25"/>
  <c r="L363" i="25"/>
  <c r="L364" i="25"/>
  <c r="L365" i="25"/>
  <c r="L366" i="25"/>
  <c r="L367" i="25"/>
  <c r="L368" i="25"/>
  <c r="L369" i="25"/>
  <c r="L370" i="25"/>
  <c r="L371" i="25"/>
  <c r="L372" i="25"/>
  <c r="L373" i="25"/>
  <c r="L374" i="25"/>
  <c r="L375" i="25"/>
  <c r="L376" i="25"/>
  <c r="L377" i="25"/>
  <c r="L378" i="25"/>
  <c r="L379" i="25"/>
  <c r="L380" i="25"/>
  <c r="L381" i="25"/>
  <c r="L382" i="25"/>
  <c r="L383" i="25"/>
  <c r="L384" i="25"/>
  <c r="L385" i="25"/>
  <c r="L386" i="25"/>
  <c r="L387" i="25"/>
  <c r="L388" i="25"/>
  <c r="L389" i="25"/>
  <c r="L390" i="25"/>
  <c r="L391" i="25"/>
  <c r="L392" i="25"/>
  <c r="L393" i="25"/>
  <c r="L394" i="25"/>
  <c r="L395" i="25"/>
  <c r="L396" i="25"/>
  <c r="L397" i="25"/>
  <c r="L398" i="25"/>
  <c r="L399" i="25"/>
  <c r="L400" i="25"/>
  <c r="L401" i="25"/>
  <c r="L402" i="25"/>
  <c r="L403" i="25"/>
  <c r="L404" i="25"/>
  <c r="L405" i="25"/>
  <c r="L406" i="25"/>
  <c r="L407" i="25"/>
  <c r="L408" i="25"/>
  <c r="L409" i="25"/>
  <c r="L410" i="25"/>
  <c r="L411" i="25"/>
  <c r="L412" i="25"/>
  <c r="L413" i="25"/>
  <c r="L414" i="25"/>
  <c r="L415" i="25"/>
  <c r="L416" i="25"/>
  <c r="L417" i="25"/>
  <c r="L418" i="25"/>
  <c r="L419" i="25"/>
  <c r="L420" i="25"/>
  <c r="L421" i="25"/>
  <c r="L422" i="25"/>
  <c r="L423" i="25"/>
  <c r="L424" i="25"/>
  <c r="L425" i="25"/>
  <c r="L426" i="25"/>
  <c r="L427" i="25"/>
  <c r="L428" i="25"/>
  <c r="L429" i="25"/>
  <c r="L430" i="25"/>
  <c r="L431" i="25"/>
  <c r="L432" i="25"/>
  <c r="L433" i="25"/>
  <c r="L434" i="25"/>
  <c r="L435" i="25"/>
  <c r="L436" i="25"/>
  <c r="L437" i="25"/>
  <c r="L438" i="25"/>
  <c r="L439" i="25"/>
  <c r="L440" i="25"/>
  <c r="L441" i="25"/>
  <c r="L442" i="25"/>
  <c r="L443" i="25"/>
  <c r="L444" i="25"/>
  <c r="L445" i="25"/>
  <c r="L446" i="25"/>
  <c r="L447" i="25"/>
  <c r="L448" i="25"/>
  <c r="L449" i="25"/>
  <c r="L450" i="25"/>
  <c r="L451" i="25"/>
  <c r="L452" i="25"/>
  <c r="L453" i="25"/>
  <c r="L454" i="25"/>
  <c r="L455" i="25"/>
  <c r="L456" i="25"/>
  <c r="L457" i="25"/>
  <c r="L458" i="25"/>
  <c r="L459" i="25"/>
  <c r="L460" i="25"/>
  <c r="L461" i="25"/>
  <c r="L462" i="25"/>
  <c r="L463" i="25"/>
  <c r="L464" i="25"/>
  <c r="L465" i="25"/>
  <c r="L466" i="25"/>
  <c r="L467" i="25"/>
  <c r="L468" i="25"/>
  <c r="L469" i="25"/>
  <c r="L470" i="25"/>
  <c r="L471" i="25"/>
  <c r="L472" i="25"/>
  <c r="L473" i="25"/>
  <c r="L474" i="25"/>
  <c r="L475" i="25"/>
  <c r="L476" i="25"/>
  <c r="L477" i="25"/>
  <c r="L478" i="25"/>
  <c r="L479" i="25"/>
  <c r="L480" i="25"/>
  <c r="L481" i="25"/>
  <c r="L2" i="15"/>
  <c r="L3" i="15"/>
  <c r="L4" i="15"/>
  <c r="L5" i="15"/>
  <c r="L6" i="15"/>
  <c r="L7" i="15"/>
  <c r="L8" i="15"/>
  <c r="L9" i="15"/>
  <c r="L10" i="15"/>
  <c r="L11" i="15"/>
  <c r="L12" i="15"/>
  <c r="N12" i="15" s="1"/>
  <c r="L13" i="15"/>
  <c r="L14" i="15"/>
  <c r="L15" i="15"/>
  <c r="L16" i="15"/>
  <c r="L17" i="15"/>
  <c r="L18" i="15"/>
  <c r="L19" i="15"/>
  <c r="L20" i="15"/>
  <c r="N20" i="15" s="1"/>
  <c r="L21" i="15"/>
  <c r="L22" i="15"/>
  <c r="L23" i="15"/>
  <c r="L24" i="15"/>
  <c r="L25" i="15"/>
  <c r="L26" i="15"/>
  <c r="L27" i="15"/>
  <c r="L28" i="15"/>
  <c r="N28" i="15" s="1"/>
  <c r="L29" i="15"/>
  <c r="L30" i="15"/>
  <c r="N30" i="15" s="1"/>
  <c r="L31" i="15"/>
  <c r="L32" i="15"/>
  <c r="L33" i="15"/>
  <c r="L34" i="15"/>
  <c r="L35" i="15"/>
  <c r="L36" i="15"/>
  <c r="N36" i="15" s="1"/>
  <c r="L37" i="15"/>
  <c r="L38" i="15"/>
  <c r="L39" i="15"/>
  <c r="L40" i="15"/>
  <c r="L41" i="15"/>
  <c r="L42" i="15"/>
  <c r="L43" i="15"/>
  <c r="L44" i="15"/>
  <c r="N44" i="15" s="1"/>
  <c r="L45" i="15"/>
  <c r="L46" i="15"/>
  <c r="L47" i="15"/>
  <c r="L48" i="15"/>
  <c r="L49" i="15"/>
  <c r="L50" i="15"/>
  <c r="L51" i="15"/>
  <c r="L52" i="15"/>
  <c r="N52" i="15" s="1"/>
  <c r="L53" i="15"/>
  <c r="L54" i="15"/>
  <c r="N54" i="15" s="1"/>
  <c r="L55" i="15"/>
  <c r="L56" i="15"/>
  <c r="L57" i="15"/>
  <c r="L58" i="15"/>
  <c r="L59" i="15"/>
  <c r="L60" i="15"/>
  <c r="N60" i="15" s="1"/>
  <c r="L61" i="15"/>
  <c r="L62" i="15"/>
  <c r="L63" i="15"/>
  <c r="L64" i="15"/>
  <c r="L65" i="15"/>
  <c r="L66" i="15"/>
  <c r="L67" i="15"/>
  <c r="L68" i="15"/>
  <c r="N68" i="15" s="1"/>
  <c r="L69" i="15"/>
  <c r="L70" i="15"/>
  <c r="N70" i="15" s="1"/>
  <c r="L71" i="15"/>
  <c r="L72" i="15"/>
  <c r="L73" i="15"/>
  <c r="L74" i="15"/>
  <c r="L75" i="15"/>
  <c r="L76" i="15"/>
  <c r="N76" i="15" s="1"/>
  <c r="L77" i="15"/>
  <c r="L78" i="15"/>
  <c r="L79" i="15"/>
  <c r="L80" i="15"/>
  <c r="L81" i="15"/>
  <c r="L82" i="15"/>
  <c r="L83" i="15"/>
  <c r="L84" i="15"/>
  <c r="N84" i="15" s="1"/>
  <c r="L85" i="15"/>
  <c r="L86" i="15"/>
  <c r="L87" i="15"/>
  <c r="L88" i="15"/>
  <c r="L89" i="15"/>
  <c r="L90" i="15"/>
  <c r="L91" i="15"/>
  <c r="L92" i="15"/>
  <c r="N92" i="15" s="1"/>
  <c r="L93" i="15"/>
  <c r="L94" i="15"/>
  <c r="N94" i="15" s="1"/>
  <c r="L95" i="15"/>
  <c r="L96" i="15"/>
  <c r="L97" i="15"/>
  <c r="L98" i="15"/>
  <c r="L99" i="15"/>
  <c r="L100" i="15"/>
  <c r="N100" i="15" s="1"/>
  <c r="L101" i="15"/>
  <c r="L102" i="15"/>
  <c r="L103" i="15"/>
  <c r="L104" i="15"/>
  <c r="L105" i="15"/>
  <c r="L106" i="15"/>
  <c r="L107" i="15"/>
  <c r="L108" i="15"/>
  <c r="N108" i="15" s="1"/>
  <c r="L109" i="15"/>
  <c r="L110" i="15"/>
  <c r="L111" i="15"/>
  <c r="L112" i="15"/>
  <c r="L113" i="15"/>
  <c r="L114" i="15"/>
  <c r="L115" i="15"/>
  <c r="L116" i="15"/>
  <c r="N116" i="15" s="1"/>
  <c r="L117" i="15"/>
  <c r="L118" i="15"/>
  <c r="N118" i="15" s="1"/>
  <c r="L119" i="15"/>
  <c r="L120" i="15"/>
  <c r="L121" i="15"/>
  <c r="L122" i="15"/>
  <c r="L123" i="15"/>
  <c r="L124" i="15"/>
  <c r="N124" i="15" s="1"/>
  <c r="L125" i="15"/>
  <c r="L126" i="15"/>
  <c r="L127" i="15"/>
  <c r="L128" i="15"/>
  <c r="L129" i="15"/>
  <c r="L130" i="15"/>
  <c r="L131" i="15"/>
  <c r="L132" i="15"/>
  <c r="N132" i="15" s="1"/>
  <c r="L133" i="15"/>
  <c r="L134" i="15"/>
  <c r="N134" i="15" s="1"/>
  <c r="L135" i="15"/>
  <c r="L136" i="15"/>
  <c r="L137" i="15"/>
  <c r="L138" i="15"/>
  <c r="L139" i="15"/>
  <c r="L140" i="15"/>
  <c r="N140" i="15" s="1"/>
  <c r="L141" i="15"/>
  <c r="L142" i="15"/>
  <c r="L143" i="15"/>
  <c r="L144" i="15"/>
  <c r="L145" i="15"/>
  <c r="L146" i="15"/>
  <c r="L147" i="15"/>
  <c r="L148" i="15"/>
  <c r="N148" i="15" s="1"/>
  <c r="L149" i="15"/>
  <c r="L150" i="15"/>
  <c r="L151" i="15"/>
  <c r="L152" i="15"/>
  <c r="L153" i="15"/>
  <c r="L154" i="15"/>
  <c r="L155" i="15"/>
  <c r="L156" i="15"/>
  <c r="N156" i="15" s="1"/>
  <c r="L157" i="15"/>
  <c r="L158" i="15"/>
  <c r="N158" i="15" s="1"/>
  <c r="L159" i="15"/>
  <c r="L160" i="15"/>
  <c r="L161" i="15"/>
  <c r="L162" i="15"/>
  <c r="L163" i="15"/>
  <c r="L164" i="15"/>
  <c r="N164" i="15" s="1"/>
  <c r="L165" i="15"/>
  <c r="L166" i="15"/>
  <c r="L167" i="15"/>
  <c r="L168" i="15"/>
  <c r="L169" i="15"/>
  <c r="L170" i="15"/>
  <c r="L171" i="15"/>
  <c r="L172" i="15"/>
  <c r="N172" i="15" s="1"/>
  <c r="L173" i="15"/>
  <c r="L174" i="15"/>
  <c r="L175" i="15"/>
  <c r="L176" i="15"/>
  <c r="L177" i="15"/>
  <c r="L178" i="15"/>
  <c r="L179" i="15"/>
  <c r="L180" i="15"/>
  <c r="N180" i="15" s="1"/>
  <c r="L181" i="15"/>
  <c r="L182" i="15"/>
  <c r="N182" i="15" s="1"/>
  <c r="L183" i="15"/>
  <c r="L184" i="15"/>
  <c r="L185" i="15"/>
  <c r="L186" i="15"/>
  <c r="L187" i="15"/>
  <c r="L188" i="15"/>
  <c r="N188" i="15" s="1"/>
  <c r="L189" i="15"/>
  <c r="L190" i="15"/>
  <c r="L191" i="15"/>
  <c r="L192" i="15"/>
  <c r="L193" i="15"/>
  <c r="L194" i="15"/>
  <c r="L195" i="15"/>
  <c r="L196" i="15"/>
  <c r="N196" i="15" s="1"/>
  <c r="L197" i="15"/>
  <c r="L198" i="15"/>
  <c r="N198" i="15" s="1"/>
  <c r="L199" i="15"/>
  <c r="L200" i="15"/>
  <c r="L201" i="15"/>
  <c r="L202" i="15"/>
  <c r="L203" i="15"/>
  <c r="L204" i="15"/>
  <c r="N204" i="15" s="1"/>
  <c r="L205" i="15"/>
  <c r="L206" i="15"/>
  <c r="L207" i="15"/>
  <c r="L208" i="15"/>
  <c r="L209" i="15"/>
  <c r="L210" i="15"/>
  <c r="L211" i="15"/>
  <c r="L212" i="15"/>
  <c r="N212" i="15" s="1"/>
  <c r="L213" i="15"/>
  <c r="L214" i="15"/>
  <c r="L215" i="15"/>
  <c r="L216" i="15"/>
  <c r="L217" i="15"/>
  <c r="L218" i="15"/>
  <c r="L219" i="15"/>
  <c r="L220" i="15"/>
  <c r="N220" i="15" s="1"/>
  <c r="L221" i="15"/>
  <c r="L222" i="15"/>
  <c r="N222" i="15" s="1"/>
  <c r="L223" i="15"/>
  <c r="L224" i="15"/>
  <c r="L225" i="15"/>
  <c r="L226" i="15"/>
  <c r="L227" i="15"/>
  <c r="L228" i="15"/>
  <c r="N228" i="15" s="1"/>
  <c r="L229" i="15"/>
  <c r="L230" i="15"/>
  <c r="L231" i="15"/>
  <c r="L232" i="15"/>
  <c r="L233" i="15"/>
  <c r="L234" i="15"/>
  <c r="L235" i="15"/>
  <c r="L236" i="15"/>
  <c r="N236" i="15" s="1"/>
  <c r="L237" i="15"/>
  <c r="L238" i="15"/>
  <c r="L239" i="15"/>
  <c r="L240" i="15"/>
  <c r="L241" i="15"/>
  <c r="L242" i="15"/>
  <c r="L243" i="15"/>
  <c r="L244" i="15"/>
  <c r="N244" i="15" s="1"/>
  <c r="L245" i="15"/>
  <c r="L246" i="15"/>
  <c r="N246" i="15" s="1"/>
  <c r="L247" i="15"/>
  <c r="L248" i="15"/>
  <c r="L249" i="15"/>
  <c r="L250" i="15"/>
  <c r="L251" i="15"/>
  <c r="L252" i="15"/>
  <c r="N252" i="15" s="1"/>
  <c r="L253" i="15"/>
  <c r="L254" i="15"/>
  <c r="L255" i="15"/>
  <c r="L256" i="15"/>
  <c r="L257" i="15"/>
  <c r="L258" i="15"/>
  <c r="L259" i="15"/>
  <c r="L260" i="15"/>
  <c r="N260" i="15" s="1"/>
  <c r="L261" i="15"/>
  <c r="L262" i="15"/>
  <c r="N262" i="15" s="1"/>
  <c r="L263" i="15"/>
  <c r="L264" i="15"/>
  <c r="L265" i="15"/>
  <c r="L266" i="15"/>
  <c r="L267" i="15"/>
  <c r="L268" i="15"/>
  <c r="N268" i="15" s="1"/>
  <c r="L269" i="15"/>
  <c r="L270" i="15"/>
  <c r="L271" i="15"/>
  <c r="L272" i="15"/>
  <c r="L273" i="15"/>
  <c r="N273" i="15" s="1"/>
  <c r="L274" i="15"/>
  <c r="L275" i="15"/>
  <c r="L276" i="15"/>
  <c r="N276" i="15" s="1"/>
  <c r="L277" i="15"/>
  <c r="L278" i="15"/>
  <c r="L279" i="15"/>
  <c r="L280" i="15"/>
  <c r="L281" i="15"/>
  <c r="N281" i="15" s="1"/>
  <c r="L282" i="15"/>
  <c r="L283" i="15"/>
  <c r="L284" i="15"/>
  <c r="N284" i="15" s="1"/>
  <c r="L285" i="15"/>
  <c r="L286" i="15"/>
  <c r="N286" i="15" s="1"/>
  <c r="L287" i="15"/>
  <c r="L288" i="15"/>
  <c r="L289" i="15"/>
  <c r="N289" i="15" s="1"/>
  <c r="L290" i="15"/>
  <c r="L291" i="15"/>
  <c r="L292" i="15"/>
  <c r="N292" i="15" s="1"/>
  <c r="L293" i="15"/>
  <c r="L294" i="15"/>
  <c r="L295" i="15"/>
  <c r="L296" i="15"/>
  <c r="L297" i="15"/>
  <c r="N297" i="15" s="1"/>
  <c r="L298" i="15"/>
  <c r="L299" i="15"/>
  <c r="L300" i="15"/>
  <c r="N300" i="15" s="1"/>
  <c r="L301" i="15"/>
  <c r="L302" i="15"/>
  <c r="L303" i="15"/>
  <c r="L304" i="15"/>
  <c r="L305" i="15"/>
  <c r="N305" i="15" s="1"/>
  <c r="L306" i="15"/>
  <c r="L307" i="15"/>
  <c r="L308" i="15"/>
  <c r="N308" i="15" s="1"/>
  <c r="L309" i="15"/>
  <c r="L310" i="15"/>
  <c r="N310" i="15" s="1"/>
  <c r="L311" i="15"/>
  <c r="L312" i="15"/>
  <c r="L313" i="15"/>
  <c r="N313" i="15" s="1"/>
  <c r="L314" i="15"/>
  <c r="L315" i="15"/>
  <c r="L316" i="15"/>
  <c r="N316" i="15" s="1"/>
  <c r="L317" i="15"/>
  <c r="L318" i="15"/>
  <c r="L319" i="15"/>
  <c r="L320" i="15"/>
  <c r="L321" i="15"/>
  <c r="N321" i="15" s="1"/>
  <c r="L322" i="15"/>
  <c r="L323" i="15"/>
  <c r="L324" i="15"/>
  <c r="N324" i="15" s="1"/>
  <c r="L325" i="15"/>
  <c r="L326" i="15"/>
  <c r="N326" i="15" s="1"/>
  <c r="L327" i="15"/>
  <c r="L328" i="15"/>
  <c r="L329" i="15"/>
  <c r="N329" i="15" s="1"/>
  <c r="L330" i="15"/>
  <c r="L331" i="15"/>
  <c r="L332" i="15"/>
  <c r="N332" i="15" s="1"/>
  <c r="L333" i="15"/>
  <c r="L334" i="15"/>
  <c r="L335" i="15"/>
  <c r="L336" i="15"/>
  <c r="L337" i="15"/>
  <c r="N337" i="15" s="1"/>
  <c r="L338" i="15"/>
  <c r="L339" i="15"/>
  <c r="L340" i="15"/>
  <c r="N340" i="15" s="1"/>
  <c r="L341" i="15"/>
  <c r="L342" i="15"/>
  <c r="L343" i="15"/>
  <c r="L344" i="15"/>
  <c r="L345" i="15"/>
  <c r="N345" i="15" s="1"/>
  <c r="L346" i="15"/>
  <c r="L347" i="15"/>
  <c r="L348" i="15"/>
  <c r="N348" i="15" s="1"/>
  <c r="L349" i="15"/>
  <c r="L350" i="15"/>
  <c r="N350" i="15" s="1"/>
  <c r="L351" i="15"/>
  <c r="L352" i="15"/>
  <c r="L353" i="15"/>
  <c r="N353" i="15" s="1"/>
  <c r="L354" i="15"/>
  <c r="L355" i="15"/>
  <c r="L356" i="15"/>
  <c r="N356" i="15" s="1"/>
  <c r="L357" i="15"/>
  <c r="L358" i="15"/>
  <c r="L359" i="15"/>
  <c r="L360" i="15"/>
  <c r="L361" i="15"/>
  <c r="N361" i="15" s="1"/>
  <c r="L362" i="15"/>
  <c r="L363" i="15"/>
  <c r="L364" i="15"/>
  <c r="N364" i="15" s="1"/>
  <c r="L365" i="15"/>
  <c r="L366" i="15"/>
  <c r="L367" i="15"/>
  <c r="L368" i="15"/>
  <c r="L369" i="15"/>
  <c r="N369" i="15" s="1"/>
  <c r="L370" i="15"/>
  <c r="L371" i="15"/>
  <c r="L372" i="15"/>
  <c r="N372" i="15" s="1"/>
  <c r="L373" i="15"/>
  <c r="L374" i="15"/>
  <c r="N374" i="15" s="1"/>
  <c r="L375" i="15"/>
  <c r="L376" i="15"/>
  <c r="L377" i="15"/>
  <c r="N377" i="15" s="1"/>
  <c r="L378" i="15"/>
  <c r="L379" i="15"/>
  <c r="L380" i="15"/>
  <c r="N380" i="15" s="1"/>
  <c r="L381" i="15"/>
  <c r="L382" i="15"/>
  <c r="L383" i="15"/>
  <c r="L384" i="15"/>
  <c r="L385" i="15"/>
  <c r="N385" i="15" s="1"/>
  <c r="L386" i="15"/>
  <c r="L387" i="15"/>
  <c r="L388" i="15"/>
  <c r="N388" i="15" s="1"/>
  <c r="L389" i="15"/>
  <c r="L390" i="15"/>
  <c r="N390" i="15" s="1"/>
  <c r="L391" i="15"/>
  <c r="L392" i="15"/>
  <c r="L393" i="15"/>
  <c r="N393" i="15" s="1"/>
  <c r="L394" i="15"/>
  <c r="L395" i="15"/>
  <c r="L396" i="15"/>
  <c r="N396" i="15" s="1"/>
  <c r="L397" i="15"/>
  <c r="L398" i="15"/>
  <c r="L399" i="15"/>
  <c r="L400" i="15"/>
  <c r="L401" i="15"/>
  <c r="N401" i="15" s="1"/>
  <c r="L402" i="15"/>
  <c r="L403" i="15"/>
  <c r="L404" i="15"/>
  <c r="N404" i="15" s="1"/>
  <c r="L405" i="15"/>
  <c r="L406" i="15"/>
  <c r="L407" i="15"/>
  <c r="L408" i="15"/>
  <c r="L409" i="15"/>
  <c r="N409" i="15" s="1"/>
  <c r="L410" i="15"/>
  <c r="L411" i="15"/>
  <c r="L412" i="15"/>
  <c r="N412" i="15" s="1"/>
  <c r="L413" i="15"/>
  <c r="L414" i="15"/>
  <c r="N414" i="15" s="1"/>
  <c r="L415" i="15"/>
  <c r="L416" i="15"/>
  <c r="L417" i="15"/>
  <c r="N417" i="15" s="1"/>
  <c r="L418" i="15"/>
  <c r="L419" i="15"/>
  <c r="L420" i="15"/>
  <c r="N420" i="15" s="1"/>
  <c r="L421" i="15"/>
  <c r="L422" i="15"/>
  <c r="L423" i="15"/>
  <c r="L424" i="15"/>
  <c r="L425" i="15"/>
  <c r="N425" i="15" s="1"/>
  <c r="L426" i="15"/>
  <c r="L427" i="15"/>
  <c r="L428" i="15"/>
  <c r="N428" i="15" s="1"/>
  <c r="L429" i="15"/>
  <c r="L430" i="15"/>
  <c r="L431" i="15"/>
  <c r="L432" i="15"/>
  <c r="L433" i="15"/>
  <c r="N433" i="15" s="1"/>
  <c r="L434" i="15"/>
  <c r="L435" i="15"/>
  <c r="L436" i="15"/>
  <c r="N436" i="15" s="1"/>
  <c r="L437" i="15"/>
  <c r="L438" i="15"/>
  <c r="N438" i="15" s="1"/>
  <c r="L439" i="15"/>
  <c r="L440" i="15"/>
  <c r="L441" i="15"/>
  <c r="N441" i="15" s="1"/>
  <c r="L442" i="15"/>
  <c r="L443" i="15"/>
  <c r="L444" i="15"/>
  <c r="N444" i="15" s="1"/>
  <c r="L445" i="15"/>
  <c r="L446" i="15"/>
  <c r="L447" i="15"/>
  <c r="L448" i="15"/>
  <c r="L449" i="15"/>
  <c r="N449" i="15" s="1"/>
  <c r="L450" i="15"/>
  <c r="L451" i="15"/>
  <c r="L452" i="15"/>
  <c r="N452" i="15" s="1"/>
  <c r="L453" i="15"/>
  <c r="L454" i="15"/>
  <c r="N454" i="15" s="1"/>
  <c r="L455" i="15"/>
  <c r="L456" i="15"/>
  <c r="L457" i="15"/>
  <c r="N457" i="15" s="1"/>
  <c r="L458" i="15"/>
  <c r="L459" i="15"/>
  <c r="L460" i="15"/>
  <c r="N460" i="15" s="1"/>
  <c r="L461" i="15"/>
  <c r="L462" i="15"/>
  <c r="L463" i="15"/>
  <c r="L464" i="15"/>
  <c r="L465" i="15"/>
  <c r="N465" i="15" s="1"/>
  <c r="L466" i="15"/>
  <c r="L467" i="15"/>
  <c r="L468" i="15"/>
  <c r="N468" i="15" s="1"/>
  <c r="L469" i="15"/>
  <c r="L470" i="15"/>
  <c r="L471" i="15"/>
  <c r="L472" i="15"/>
  <c r="L473" i="15"/>
  <c r="N473" i="15" s="1"/>
  <c r="L474" i="15"/>
  <c r="L475" i="15"/>
  <c r="L476" i="15"/>
  <c r="N476" i="15" s="1"/>
  <c r="L477" i="15"/>
  <c r="N477" i="15" s="1"/>
  <c r="L478" i="15"/>
  <c r="N478" i="15" s="1"/>
  <c r="L479" i="15"/>
  <c r="L480" i="15"/>
  <c r="L481" i="15"/>
  <c r="N481" i="15" s="1"/>
  <c r="M2" i="15"/>
  <c r="M3" i="15"/>
  <c r="M4" i="15"/>
  <c r="M5" i="15"/>
  <c r="M6" i="15"/>
  <c r="N6" i="15" s="1"/>
  <c r="M7" i="15"/>
  <c r="M8" i="15"/>
  <c r="M9" i="15"/>
  <c r="N9" i="15" s="1"/>
  <c r="M10" i="15"/>
  <c r="M11" i="15"/>
  <c r="M12" i="15"/>
  <c r="M13" i="15"/>
  <c r="M14" i="15"/>
  <c r="M15" i="15"/>
  <c r="M16" i="15"/>
  <c r="M17" i="15"/>
  <c r="N17" i="15" s="1"/>
  <c r="M18" i="15"/>
  <c r="M19" i="15"/>
  <c r="M20" i="15"/>
  <c r="M21" i="15"/>
  <c r="M22" i="15"/>
  <c r="M23" i="15"/>
  <c r="M24" i="15"/>
  <c r="M25" i="15"/>
  <c r="N25" i="15" s="1"/>
  <c r="M26" i="15"/>
  <c r="M27" i="15"/>
  <c r="M28" i="15"/>
  <c r="M29" i="15"/>
  <c r="M30" i="15"/>
  <c r="M31" i="15"/>
  <c r="M32" i="15"/>
  <c r="M33" i="15"/>
  <c r="N33" i="15" s="1"/>
  <c r="M34" i="15"/>
  <c r="M35" i="15"/>
  <c r="M36" i="15"/>
  <c r="M37" i="15"/>
  <c r="M38" i="15"/>
  <c r="M39" i="15"/>
  <c r="M40" i="15"/>
  <c r="M41" i="15"/>
  <c r="N41" i="15" s="1"/>
  <c r="M42" i="15"/>
  <c r="M43" i="15"/>
  <c r="M44" i="15"/>
  <c r="M45" i="15"/>
  <c r="M46" i="15"/>
  <c r="N46" i="15" s="1"/>
  <c r="M47" i="15"/>
  <c r="M48" i="15"/>
  <c r="M49" i="15"/>
  <c r="N49" i="15" s="1"/>
  <c r="M50" i="15"/>
  <c r="M51" i="15"/>
  <c r="M52" i="15"/>
  <c r="M53" i="15"/>
  <c r="M54" i="15"/>
  <c r="M55" i="15"/>
  <c r="M56" i="15"/>
  <c r="M57" i="15"/>
  <c r="N57" i="15" s="1"/>
  <c r="M58" i="15"/>
  <c r="M59" i="15"/>
  <c r="M60" i="15"/>
  <c r="M61" i="15"/>
  <c r="M62" i="15"/>
  <c r="N62" i="15" s="1"/>
  <c r="M63" i="15"/>
  <c r="M64" i="15"/>
  <c r="M65" i="15"/>
  <c r="N65" i="15" s="1"/>
  <c r="M66" i="15"/>
  <c r="M67" i="15"/>
  <c r="M68" i="15"/>
  <c r="M69" i="15"/>
  <c r="M70" i="15"/>
  <c r="M71" i="15"/>
  <c r="M72" i="15"/>
  <c r="M73" i="15"/>
  <c r="N73" i="15" s="1"/>
  <c r="M74" i="15"/>
  <c r="M75" i="15"/>
  <c r="M76" i="15"/>
  <c r="M77" i="15"/>
  <c r="M78" i="15"/>
  <c r="M79" i="15"/>
  <c r="M80" i="15"/>
  <c r="M81" i="15"/>
  <c r="N81" i="15" s="1"/>
  <c r="M82" i="15"/>
  <c r="M83" i="15"/>
  <c r="M84" i="15"/>
  <c r="M85" i="15"/>
  <c r="M86" i="15"/>
  <c r="M87" i="15"/>
  <c r="M88" i="15"/>
  <c r="M89" i="15"/>
  <c r="N89" i="15" s="1"/>
  <c r="M90" i="15"/>
  <c r="M91" i="15"/>
  <c r="M92" i="15"/>
  <c r="M93" i="15"/>
  <c r="M94" i="15"/>
  <c r="M95" i="15"/>
  <c r="M96" i="15"/>
  <c r="M97" i="15"/>
  <c r="N97" i="15" s="1"/>
  <c r="M98" i="15"/>
  <c r="M99" i="15"/>
  <c r="M100" i="15"/>
  <c r="M101" i="15"/>
  <c r="M102" i="15"/>
  <c r="M103" i="15"/>
  <c r="M104" i="15"/>
  <c r="M105" i="15"/>
  <c r="N105" i="15" s="1"/>
  <c r="M106" i="15"/>
  <c r="M107" i="15"/>
  <c r="M108" i="15"/>
  <c r="M109" i="15"/>
  <c r="M110" i="15"/>
  <c r="N110" i="15" s="1"/>
  <c r="M111" i="15"/>
  <c r="M112" i="15"/>
  <c r="M113" i="15"/>
  <c r="N113" i="15" s="1"/>
  <c r="M114" i="15"/>
  <c r="M115" i="15"/>
  <c r="M116" i="15"/>
  <c r="M117" i="15"/>
  <c r="M118" i="15"/>
  <c r="M119" i="15"/>
  <c r="M120" i="15"/>
  <c r="M121" i="15"/>
  <c r="N121" i="15" s="1"/>
  <c r="M122" i="15"/>
  <c r="M123" i="15"/>
  <c r="M124" i="15"/>
  <c r="M125" i="15"/>
  <c r="M126" i="15"/>
  <c r="N126" i="15" s="1"/>
  <c r="M127" i="15"/>
  <c r="M128" i="15"/>
  <c r="M129" i="15"/>
  <c r="N129" i="15" s="1"/>
  <c r="M130" i="15"/>
  <c r="M131" i="15"/>
  <c r="M132" i="15"/>
  <c r="M133" i="15"/>
  <c r="M134" i="15"/>
  <c r="M135" i="15"/>
  <c r="M136" i="15"/>
  <c r="M137" i="15"/>
  <c r="N137" i="15" s="1"/>
  <c r="M138" i="15"/>
  <c r="M139" i="15"/>
  <c r="M140" i="15"/>
  <c r="M141" i="15"/>
  <c r="M142" i="15"/>
  <c r="M143" i="15"/>
  <c r="M144" i="15"/>
  <c r="M145" i="15"/>
  <c r="N145" i="15" s="1"/>
  <c r="M146" i="15"/>
  <c r="M147" i="15"/>
  <c r="M148" i="15"/>
  <c r="M149" i="15"/>
  <c r="M150" i="15"/>
  <c r="M151" i="15"/>
  <c r="M152" i="15"/>
  <c r="M153" i="15"/>
  <c r="N153" i="15" s="1"/>
  <c r="M154" i="15"/>
  <c r="M155" i="15"/>
  <c r="M156" i="15"/>
  <c r="M157" i="15"/>
  <c r="M158" i="15"/>
  <c r="M159" i="15"/>
  <c r="M160" i="15"/>
  <c r="M161" i="15"/>
  <c r="N161" i="15" s="1"/>
  <c r="M162" i="15"/>
  <c r="M163" i="15"/>
  <c r="M164" i="15"/>
  <c r="M165" i="15"/>
  <c r="M166" i="15"/>
  <c r="M167" i="15"/>
  <c r="M168" i="15"/>
  <c r="M169" i="15"/>
  <c r="N169" i="15" s="1"/>
  <c r="M170" i="15"/>
  <c r="M171" i="15"/>
  <c r="M172" i="15"/>
  <c r="M173" i="15"/>
  <c r="M174" i="15"/>
  <c r="N174" i="15" s="1"/>
  <c r="M175" i="15"/>
  <c r="M176" i="15"/>
  <c r="M177" i="15"/>
  <c r="N177" i="15" s="1"/>
  <c r="M178" i="15"/>
  <c r="M179" i="15"/>
  <c r="M180" i="15"/>
  <c r="M181" i="15"/>
  <c r="M182" i="15"/>
  <c r="M183" i="15"/>
  <c r="M184" i="15"/>
  <c r="M185" i="15"/>
  <c r="N185" i="15" s="1"/>
  <c r="M186" i="15"/>
  <c r="M187" i="15"/>
  <c r="M188" i="15"/>
  <c r="M189" i="15"/>
  <c r="M190" i="15"/>
  <c r="N190" i="15" s="1"/>
  <c r="M191" i="15"/>
  <c r="M192" i="15"/>
  <c r="M193" i="15"/>
  <c r="N193" i="15" s="1"/>
  <c r="M194" i="15"/>
  <c r="M195" i="15"/>
  <c r="M196" i="15"/>
  <c r="M197" i="15"/>
  <c r="M198" i="15"/>
  <c r="M199" i="15"/>
  <c r="M200" i="15"/>
  <c r="M201" i="15"/>
  <c r="N201" i="15" s="1"/>
  <c r="M202" i="15"/>
  <c r="M203" i="15"/>
  <c r="M204" i="15"/>
  <c r="M205" i="15"/>
  <c r="M206" i="15"/>
  <c r="M207" i="15"/>
  <c r="M208" i="15"/>
  <c r="M209" i="15"/>
  <c r="N209" i="15" s="1"/>
  <c r="M210" i="15"/>
  <c r="M211" i="15"/>
  <c r="M212" i="15"/>
  <c r="M213" i="15"/>
  <c r="M214" i="15"/>
  <c r="M215" i="15"/>
  <c r="M216" i="15"/>
  <c r="M217" i="15"/>
  <c r="N217" i="15" s="1"/>
  <c r="M218" i="15"/>
  <c r="M219" i="15"/>
  <c r="M220" i="15"/>
  <c r="M221" i="15"/>
  <c r="M222" i="15"/>
  <c r="M223" i="15"/>
  <c r="M224" i="15"/>
  <c r="M225" i="15"/>
  <c r="N225" i="15" s="1"/>
  <c r="M226" i="15"/>
  <c r="M227" i="15"/>
  <c r="M228" i="15"/>
  <c r="M229" i="15"/>
  <c r="M230" i="15"/>
  <c r="M231" i="15"/>
  <c r="M232" i="15"/>
  <c r="M233" i="15"/>
  <c r="N233" i="15" s="1"/>
  <c r="M234" i="15"/>
  <c r="M235" i="15"/>
  <c r="M236" i="15"/>
  <c r="M237" i="15"/>
  <c r="M238" i="15"/>
  <c r="N238" i="15" s="1"/>
  <c r="M239" i="15"/>
  <c r="M240" i="15"/>
  <c r="M241" i="15"/>
  <c r="N241" i="15" s="1"/>
  <c r="M242" i="15"/>
  <c r="M243" i="15"/>
  <c r="M244" i="15"/>
  <c r="M245" i="15"/>
  <c r="M246" i="15"/>
  <c r="M247" i="15"/>
  <c r="M248" i="15"/>
  <c r="M249" i="15"/>
  <c r="N249" i="15" s="1"/>
  <c r="M250" i="15"/>
  <c r="M251" i="15"/>
  <c r="M252" i="15"/>
  <c r="M253" i="15"/>
  <c r="M254" i="15"/>
  <c r="N254" i="15" s="1"/>
  <c r="M255" i="15"/>
  <c r="M256" i="15"/>
  <c r="M257" i="15"/>
  <c r="N257" i="15" s="1"/>
  <c r="M258" i="15"/>
  <c r="M259" i="15"/>
  <c r="M260" i="15"/>
  <c r="M261" i="15"/>
  <c r="M262" i="15"/>
  <c r="M263" i="15"/>
  <c r="M264" i="15"/>
  <c r="M265" i="15"/>
  <c r="N265" i="15" s="1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N302" i="15" s="1"/>
  <c r="M303" i="15"/>
  <c r="M304" i="15"/>
  <c r="M305" i="15"/>
  <c r="M306" i="15"/>
  <c r="M307" i="15"/>
  <c r="M308" i="15"/>
  <c r="M309" i="15"/>
  <c r="M310" i="15"/>
  <c r="M311" i="15"/>
  <c r="N311" i="15" s="1"/>
  <c r="M312" i="15"/>
  <c r="M313" i="15"/>
  <c r="M314" i="15"/>
  <c r="M315" i="15"/>
  <c r="M316" i="15"/>
  <c r="M317" i="15"/>
  <c r="M318" i="15"/>
  <c r="N318" i="15" s="1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N335" i="15" s="1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N351" i="15" s="1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N366" i="15" s="1"/>
  <c r="M367" i="15"/>
  <c r="M368" i="15"/>
  <c r="M369" i="15"/>
  <c r="M370" i="15"/>
  <c r="M371" i="15"/>
  <c r="M372" i="15"/>
  <c r="M373" i="15"/>
  <c r="M374" i="15"/>
  <c r="M375" i="15"/>
  <c r="N375" i="15" s="1"/>
  <c r="M376" i="15"/>
  <c r="M377" i="15"/>
  <c r="M378" i="15"/>
  <c r="M379" i="15"/>
  <c r="M380" i="15"/>
  <c r="M381" i="15"/>
  <c r="M382" i="15"/>
  <c r="N382" i="15" s="1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N399" i="15" s="1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N415" i="15" s="1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N430" i="15" s="1"/>
  <c r="M431" i="15"/>
  <c r="M432" i="15"/>
  <c r="M433" i="15"/>
  <c r="M434" i="15"/>
  <c r="M435" i="15"/>
  <c r="M436" i="15"/>
  <c r="M437" i="15"/>
  <c r="M438" i="15"/>
  <c r="M439" i="15"/>
  <c r="N439" i="15" s="1"/>
  <c r="M440" i="15"/>
  <c r="M441" i="15"/>
  <c r="M442" i="15"/>
  <c r="M443" i="15"/>
  <c r="M444" i="15"/>
  <c r="M445" i="15"/>
  <c r="M446" i="15"/>
  <c r="N446" i="15" s="1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N463" i="15" s="1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N2" i="15"/>
  <c r="N3" i="15"/>
  <c r="N7" i="15"/>
  <c r="N8" i="15"/>
  <c r="N10" i="15"/>
  <c r="N11" i="15"/>
  <c r="N14" i="15"/>
  <c r="N15" i="15"/>
  <c r="N16" i="15"/>
  <c r="N18" i="15"/>
  <c r="N19" i="15"/>
  <c r="N22" i="15"/>
  <c r="N23" i="15"/>
  <c r="N24" i="15"/>
  <c r="N26" i="15"/>
  <c r="N27" i="15"/>
  <c r="N31" i="15"/>
  <c r="N32" i="15"/>
  <c r="N34" i="15"/>
  <c r="N35" i="15"/>
  <c r="N38" i="15"/>
  <c r="N39" i="15"/>
  <c r="N40" i="15"/>
  <c r="N42" i="15"/>
  <c r="N43" i="15"/>
  <c r="N47" i="15"/>
  <c r="N48" i="15"/>
  <c r="N50" i="15"/>
  <c r="N51" i="15"/>
  <c r="N55" i="15"/>
  <c r="N56" i="15"/>
  <c r="N58" i="15"/>
  <c r="N59" i="15"/>
  <c r="N63" i="15"/>
  <c r="N64" i="15"/>
  <c r="N66" i="15"/>
  <c r="N67" i="15"/>
  <c r="N71" i="15"/>
  <c r="N72" i="15"/>
  <c r="N74" i="15"/>
  <c r="N75" i="15"/>
  <c r="N78" i="15"/>
  <c r="N79" i="15"/>
  <c r="N80" i="15"/>
  <c r="N82" i="15"/>
  <c r="N83" i="15"/>
  <c r="N86" i="15"/>
  <c r="N87" i="15"/>
  <c r="N88" i="15"/>
  <c r="N90" i="15"/>
  <c r="N91" i="15"/>
  <c r="N95" i="15"/>
  <c r="N96" i="15"/>
  <c r="N98" i="15"/>
  <c r="N99" i="15"/>
  <c r="N102" i="15"/>
  <c r="N103" i="15"/>
  <c r="N104" i="15"/>
  <c r="N106" i="15"/>
  <c r="N107" i="15"/>
  <c r="N111" i="15"/>
  <c r="N112" i="15"/>
  <c r="N114" i="15"/>
  <c r="N115" i="15"/>
  <c r="N119" i="15"/>
  <c r="N120" i="15"/>
  <c r="N122" i="15"/>
  <c r="N123" i="15"/>
  <c r="N127" i="15"/>
  <c r="N128" i="15"/>
  <c r="N130" i="15"/>
  <c r="N131" i="15"/>
  <c r="N135" i="15"/>
  <c r="N136" i="15"/>
  <c r="N138" i="15"/>
  <c r="N139" i="15"/>
  <c r="N142" i="15"/>
  <c r="N143" i="15"/>
  <c r="N144" i="15"/>
  <c r="N146" i="15"/>
  <c r="N147" i="15"/>
  <c r="N150" i="15"/>
  <c r="N151" i="15"/>
  <c r="N152" i="15"/>
  <c r="N154" i="15"/>
  <c r="N155" i="15"/>
  <c r="N159" i="15"/>
  <c r="N160" i="15"/>
  <c r="N162" i="15"/>
  <c r="N163" i="15"/>
  <c r="N166" i="15"/>
  <c r="N167" i="15"/>
  <c r="N168" i="15"/>
  <c r="N170" i="15"/>
  <c r="N171" i="15"/>
  <c r="N175" i="15"/>
  <c r="N176" i="15"/>
  <c r="N178" i="15"/>
  <c r="N179" i="15"/>
  <c r="N183" i="15"/>
  <c r="N184" i="15"/>
  <c r="N186" i="15"/>
  <c r="N187" i="15"/>
  <c r="N191" i="15"/>
  <c r="N192" i="15"/>
  <c r="N194" i="15"/>
  <c r="N195" i="15"/>
  <c r="N199" i="15"/>
  <c r="N200" i="15"/>
  <c r="N202" i="15"/>
  <c r="N203" i="15"/>
  <c r="N206" i="15"/>
  <c r="N207" i="15"/>
  <c r="N208" i="15"/>
  <c r="N210" i="15"/>
  <c r="N211" i="15"/>
  <c r="N214" i="15"/>
  <c r="N215" i="15"/>
  <c r="N216" i="15"/>
  <c r="N218" i="15"/>
  <c r="N219" i="15"/>
  <c r="N223" i="15"/>
  <c r="N224" i="15"/>
  <c r="N226" i="15"/>
  <c r="N227" i="15"/>
  <c r="N230" i="15"/>
  <c r="N231" i="15"/>
  <c r="N232" i="15"/>
  <c r="N234" i="15"/>
  <c r="N235" i="15"/>
  <c r="N239" i="15"/>
  <c r="N240" i="15"/>
  <c r="N242" i="15"/>
  <c r="N243" i="15"/>
  <c r="N247" i="15"/>
  <c r="N248" i="15"/>
  <c r="N250" i="15"/>
  <c r="N251" i="15"/>
  <c r="N255" i="15"/>
  <c r="N256" i="15"/>
  <c r="N258" i="15"/>
  <c r="N259" i="15"/>
  <c r="N263" i="15"/>
  <c r="N264" i="15"/>
  <c r="N266" i="15"/>
  <c r="N267" i="15"/>
  <c r="N270" i="15"/>
  <c r="N271" i="15"/>
  <c r="N272" i="15"/>
  <c r="N274" i="15"/>
  <c r="N275" i="15"/>
  <c r="N278" i="15"/>
  <c r="N279" i="15"/>
  <c r="N280" i="15"/>
  <c r="N282" i="15"/>
  <c r="N283" i="15"/>
  <c r="N287" i="15"/>
  <c r="N288" i="15"/>
  <c r="N290" i="15"/>
  <c r="N291" i="15"/>
  <c r="N294" i="15"/>
  <c r="N295" i="15"/>
  <c r="N296" i="15"/>
  <c r="N298" i="15"/>
  <c r="N299" i="15"/>
  <c r="N303" i="15"/>
  <c r="N304" i="15"/>
  <c r="N306" i="15"/>
  <c r="N307" i="15"/>
  <c r="N312" i="15"/>
  <c r="N314" i="15"/>
  <c r="N315" i="15"/>
  <c r="N319" i="15"/>
  <c r="N320" i="15"/>
  <c r="N322" i="15"/>
  <c r="N323" i="15"/>
  <c r="N327" i="15"/>
  <c r="N328" i="15"/>
  <c r="N330" i="15"/>
  <c r="N331" i="15"/>
  <c r="N334" i="15"/>
  <c r="N336" i="15"/>
  <c r="N338" i="15"/>
  <c r="N339" i="15"/>
  <c r="N342" i="15"/>
  <c r="N343" i="15"/>
  <c r="N344" i="15"/>
  <c r="N346" i="15"/>
  <c r="N347" i="15"/>
  <c r="N352" i="15"/>
  <c r="N354" i="15"/>
  <c r="N355" i="15"/>
  <c r="N358" i="15"/>
  <c r="N359" i="15"/>
  <c r="N360" i="15"/>
  <c r="N362" i="15"/>
  <c r="N363" i="15"/>
  <c r="N367" i="15"/>
  <c r="N368" i="15"/>
  <c r="N370" i="15"/>
  <c r="N371" i="15"/>
  <c r="N376" i="15"/>
  <c r="N378" i="15"/>
  <c r="N379" i="15"/>
  <c r="N383" i="15"/>
  <c r="N384" i="15"/>
  <c r="N386" i="15"/>
  <c r="N387" i="15"/>
  <c r="N391" i="15"/>
  <c r="N392" i="15"/>
  <c r="N394" i="15"/>
  <c r="N395" i="15"/>
  <c r="N398" i="15"/>
  <c r="N400" i="15"/>
  <c r="N402" i="15"/>
  <c r="N403" i="15"/>
  <c r="N406" i="15"/>
  <c r="N407" i="15"/>
  <c r="N408" i="15"/>
  <c r="N410" i="15"/>
  <c r="N411" i="15"/>
  <c r="N416" i="15"/>
  <c r="N418" i="15"/>
  <c r="N419" i="15"/>
  <c r="N422" i="15"/>
  <c r="N423" i="15"/>
  <c r="N424" i="15"/>
  <c r="N426" i="15"/>
  <c r="N427" i="15"/>
  <c r="N431" i="15"/>
  <c r="N432" i="15"/>
  <c r="N434" i="15"/>
  <c r="N435" i="15"/>
  <c r="N440" i="15"/>
  <c r="N442" i="15"/>
  <c r="N443" i="15"/>
  <c r="N447" i="15"/>
  <c r="N448" i="15"/>
  <c r="N450" i="15"/>
  <c r="N451" i="15"/>
  <c r="N455" i="15"/>
  <c r="N456" i="15"/>
  <c r="N458" i="15"/>
  <c r="N459" i="15"/>
  <c r="N462" i="15"/>
  <c r="N464" i="15"/>
  <c r="N466" i="15"/>
  <c r="N467" i="15"/>
  <c r="N470" i="15"/>
  <c r="N471" i="15"/>
  <c r="N472" i="15"/>
  <c r="N474" i="15"/>
  <c r="N475" i="15"/>
  <c r="N479" i="15"/>
  <c r="N480" i="15"/>
  <c r="N461" i="15" l="1"/>
  <c r="N405" i="15"/>
  <c r="N325" i="15"/>
  <c r="N253" i="15"/>
  <c r="N173" i="15"/>
  <c r="N101" i="15"/>
  <c r="N45" i="15"/>
  <c r="N37" i="15"/>
  <c r="N5" i="15"/>
  <c r="N469" i="15"/>
  <c r="N437" i="15"/>
  <c r="N413" i="15"/>
  <c r="N381" i="15"/>
  <c r="N357" i="15"/>
  <c r="N333" i="15"/>
  <c r="N301" i="15"/>
  <c r="N277" i="15"/>
  <c r="N245" i="15"/>
  <c r="N213" i="15"/>
  <c r="N197" i="15"/>
  <c r="N157" i="15"/>
  <c r="N133" i="15"/>
  <c r="N109" i="15"/>
  <c r="N77" i="15"/>
  <c r="N61" i="15"/>
  <c r="N21" i="15"/>
  <c r="N453" i="15"/>
  <c r="N429" i="15"/>
  <c r="N397" i="15"/>
  <c r="N373" i="15"/>
  <c r="N341" i="15"/>
  <c r="N309" i="15"/>
  <c r="N285" i="15"/>
  <c r="N269" i="15"/>
  <c r="N237" i="15"/>
  <c r="N221" i="15"/>
  <c r="N189" i="15"/>
  <c r="N165" i="15"/>
  <c r="N141" i="15"/>
  <c r="N117" i="15"/>
  <c r="N93" i="15"/>
  <c r="N69" i="15"/>
  <c r="N29" i="15"/>
  <c r="N445" i="15"/>
  <c r="N421" i="15"/>
  <c r="N389" i="15"/>
  <c r="N365" i="15"/>
  <c r="N349" i="15"/>
  <c r="N317" i="15"/>
  <c r="N293" i="15"/>
  <c r="N261" i="15"/>
  <c r="N229" i="15"/>
  <c r="N205" i="15"/>
  <c r="N181" i="15"/>
  <c r="N149" i="15"/>
  <c r="N125" i="15"/>
  <c r="N85" i="15"/>
  <c r="N53" i="15"/>
  <c r="N13" i="15"/>
  <c r="N4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6B1827-9514-CB41-8841-F4C95E331C84}" keepAlive="1" name="Query - correct_ratio_df" description="Connection to the 'correct_ratio_df' query in the workbook." type="5" refreshedVersion="8" background="1" saveData="1">
    <dbPr connection="Provider=Microsoft.Mashup.OleDb.1;Data Source=$Workbook$;Location=correct_ratio_df;Extended Properties=&quot;&quot;" command="SELECT * FROM [correct_ratio_df]"/>
  </connection>
  <connection id="2" xr16:uid="{47DD2FBC-584D-BA44-9EA2-29ACC2E4E2E7}" keepAlive="1" name="Query - correct_ratio_df (2)" description="Connection to the 'correct_ratio_df (2)' query in the workbook." type="5" refreshedVersion="8" background="1" saveData="1">
    <dbPr connection="Provider=Microsoft.Mashup.OleDb.1;Data Source=$Workbook$;Location=&quot;correct_ratio_df (2)&quot;;Extended Properties=&quot;&quot;" command="SELECT * FROM [correct_ratio_df (2)]"/>
  </connection>
  <connection id="3" xr16:uid="{64FD81FF-952F-8B43-8804-549A323DE4EF}" keepAlive="1" name="Query - correct_ratio_df (3)" description="Connection to the 'correct_ratio_df (3)' query in the workbook." type="5" refreshedVersion="8" background="1" saveData="1">
    <dbPr connection="Provider=Microsoft.Mashup.OleDb.1;Data Source=$Workbook$;Location=&quot;correct_ratio_df (3)&quot;;Extended Properties=&quot;&quot;" command="SELECT * FROM [correct_ratio_df (3)]"/>
  </connection>
</connections>
</file>

<file path=xl/sharedStrings.xml><?xml version="1.0" encoding="utf-8"?>
<sst xmlns="http://schemas.openxmlformats.org/spreadsheetml/2006/main" count="6807" uniqueCount="93">
  <si>
    <t>bug_type</t>
  </si>
  <si>
    <t>bug_consequence</t>
  </si>
  <si>
    <t>bug_impact</t>
  </si>
  <si>
    <t>exp_name</t>
  </si>
  <si>
    <t>correct_ratio</t>
  </si>
  <si>
    <t>prompt</t>
  </si>
  <si>
    <t>model</t>
  </si>
  <si>
    <t>available</t>
  </si>
  <si>
    <t>stable</t>
  </si>
  <si>
    <t>variable assign fault</t>
  </si>
  <si>
    <t>infinite loop error</t>
  </si>
  <si>
    <t>all-case impact</t>
  </si>
  <si>
    <t>gemini-python-with_location</t>
  </si>
  <si>
    <t>with_location</t>
  </si>
  <si>
    <t>condition fault</t>
  </si>
  <si>
    <t>edge-case impact</t>
  </si>
  <si>
    <t>variable misuse fault</t>
  </si>
  <si>
    <t>output error</t>
  </si>
  <si>
    <t>runtime error</t>
  </si>
  <si>
    <t>indexing fault</t>
  </si>
  <si>
    <t>format error</t>
  </si>
  <si>
    <t>base-case impact</t>
  </si>
  <si>
    <t>variable assign missing fault</t>
  </si>
  <si>
    <t>gpt35-python-with_lib</t>
  </si>
  <si>
    <t>with_lib</t>
  </si>
  <si>
    <t>gpt35-python-with_location</t>
  </si>
  <si>
    <t>gpt4-python-with_location</t>
  </si>
  <si>
    <t>gemini-python-with_lib</t>
  </si>
  <si>
    <t>gpt4-python-with_lib</t>
  </si>
  <si>
    <t>gpt35-python-basic</t>
  </si>
  <si>
    <t>basic</t>
  </si>
  <si>
    <t>gpt4-python-basic</t>
  </si>
  <si>
    <t>gemini-python-basic</t>
  </si>
  <si>
    <t>Column Labels</t>
  </si>
  <si>
    <t>Grand Total</t>
  </si>
  <si>
    <t>Row Labels</t>
  </si>
  <si>
    <t>Column1</t>
  </si>
  <si>
    <t>only avaliable</t>
  </si>
  <si>
    <t xml:space="preserve"> </t>
  </si>
  <si>
    <t>Sum of correct_ratio</t>
  </si>
  <si>
    <t>prog_name</t>
  </si>
  <si>
    <t>bitcount</t>
  </si>
  <si>
    <t>breadth_first_search</t>
  </si>
  <si>
    <t>bucketsort</t>
  </si>
  <si>
    <t>depth_first_search</t>
  </si>
  <si>
    <t>detect_cycle</t>
  </si>
  <si>
    <t>find_first_in_sorted</t>
  </si>
  <si>
    <t>find_in_sorted</t>
  </si>
  <si>
    <t>flatten</t>
  </si>
  <si>
    <t>gcd</t>
  </si>
  <si>
    <t>get_factors</t>
  </si>
  <si>
    <t>hanoi</t>
  </si>
  <si>
    <t>is_valid_parenthesization</t>
  </si>
  <si>
    <t>kheapsort</t>
  </si>
  <si>
    <t>knapsack</t>
  </si>
  <si>
    <t>kth</t>
  </si>
  <si>
    <t>lcs_length</t>
  </si>
  <si>
    <t>levenshtein</t>
  </si>
  <si>
    <t>lis</t>
  </si>
  <si>
    <t>longest_common_subsequence</t>
  </si>
  <si>
    <t>max_sublist_sum</t>
  </si>
  <si>
    <t>mergesort</t>
  </si>
  <si>
    <t>minimum_spanning_tree</t>
  </si>
  <si>
    <t>next_palindrome</t>
  </si>
  <si>
    <t>next_permutation</t>
  </si>
  <si>
    <t>pascal</t>
  </si>
  <si>
    <t>possible_change</t>
  </si>
  <si>
    <t>powerset</t>
  </si>
  <si>
    <t>quicksort</t>
  </si>
  <si>
    <t>reverse_linked_list</t>
  </si>
  <si>
    <t>rpn_eval</t>
  </si>
  <si>
    <t>shortest_path_length</t>
  </si>
  <si>
    <t>shortest_path_lengths</t>
  </si>
  <si>
    <t>shortest_paths</t>
  </si>
  <si>
    <t>shunting_yard</t>
  </si>
  <si>
    <t>sieve</t>
  </si>
  <si>
    <t>sqrt</t>
  </si>
  <si>
    <t>subsequences</t>
  </si>
  <si>
    <t>to_base</t>
  </si>
  <si>
    <t>topological_ordering</t>
  </si>
  <si>
    <t>wrap</t>
  </si>
  <si>
    <t>claude-python-basic</t>
  </si>
  <si>
    <t>claude-python-with_location</t>
  </si>
  <si>
    <t>claude-python-with_lib</t>
  </si>
  <si>
    <t>Average of correct_ratio</t>
  </si>
  <si>
    <t>Gemini</t>
  </si>
  <si>
    <t>GPT-3.5</t>
  </si>
  <si>
    <t>GPT-4</t>
  </si>
  <si>
    <t>calc available</t>
  </si>
  <si>
    <t>clac stable</t>
  </si>
  <si>
    <t>Claude</t>
  </si>
  <si>
    <t>Average of only avaliable</t>
  </si>
  <si>
    <t>Average of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</si>
</sst>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0" xfId="0" applyFont="1" applyBorder="1" applyAlignment="1">
      <alignment horizontal="left"/>
    </xf>
    <xf numFmtId="0" fontId="16" fillId="0" borderId="10" xfId="0" applyNumberFormat="1" applyFont="1" applyBorder="1"/>
    <xf numFmtId="0" fontId="16" fillId="0" borderId="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78D92"/>
      <color rgb="FFBA73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[correct_ratio_df.xlsx]model comparsion!PivotTable6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'model comparsion'!$B$1:$B$2</c:f>
              <c:strCache>
                <c:ptCount val="1"/>
                <c:pt idx="0">
                  <c:v>basic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'model comparsion'!$A$3:$A$7</c:f>
              <c:strCache>
                <c:ptCount val="4"/>
                <c:pt idx="0">
                  <c:v>Gemini</c:v>
                </c:pt>
                <c:pt idx="1">
                  <c:v>Claude</c:v>
                </c:pt>
                <c:pt idx="2">
                  <c:v>GPT-3.5</c:v>
                </c:pt>
                <c:pt idx="3">
                  <c:v>GPT-4</c:v>
                </c:pt>
              </c:strCache>
            </c:strRef>
          </c:cat>
          <c:val>
            <c:numRef>
              <c:f>'model comparsion'!$B$3:$B$7</c:f>
              <c:numCache>
                <c:formatCode>General</c:formatCode>
                <c:ptCount val="4"/>
                <c:pt idx="0">
                  <c:v>24.666666666666664</c:v>
                </c:pt>
                <c:pt idx="1">
                  <c:v>28</c:v>
                </c:pt>
                <c:pt idx="2">
                  <c:v>34</c:v>
                </c:pt>
                <c:pt idx="3">
                  <c:v>33.333333333333329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3-D641-93AD-6DC77B208F12}"/>
            </c:ext>
          </c:extLst>
        </c:ser>
        <c:ser>
          <c:idx val="1"/>
          <c:order val="1"/>
          <c:tx>
            <c:strRef>
              <c:f>'model comparsion'!$C$1:$C$2</c:f>
              <c:strCache>
                <c:ptCount val="1"/>
                <c:pt idx="0">
                  <c:v>with_lib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'model comparsion'!$A$3:$A$7</c:f>
              <c:strCache>
                <c:ptCount val="4"/>
                <c:pt idx="0">
                  <c:v>Gemini</c:v>
                </c:pt>
                <c:pt idx="1">
                  <c:v>Claude</c:v>
                </c:pt>
                <c:pt idx="2">
                  <c:v>GPT-3.5</c:v>
                </c:pt>
                <c:pt idx="3">
                  <c:v>GPT-4</c:v>
                </c:pt>
              </c:strCache>
            </c:strRef>
          </c:cat>
          <c:val>
            <c:numRef>
              <c:f>'model comparsion'!$C$3:$C$7</c:f>
              <c:numCache>
                <c:formatCode>General</c:formatCode>
                <c:ptCount val="4"/>
                <c:pt idx="0">
                  <c:v>28.666666666666668</c:v>
                </c:pt>
                <c:pt idx="1">
                  <c:v>33</c:v>
                </c:pt>
                <c:pt idx="2">
                  <c:v>35.333333333333336</c:v>
                </c:pt>
                <c:pt idx="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3-D641-93AD-6DC77B208F12}"/>
            </c:ext>
          </c:extLst>
        </c:ser>
        <c:ser>
          <c:idx val="2"/>
          <c:order val="2"/>
          <c:tx>
            <c:strRef>
              <c:f>'model comparsion'!$D$1:$D$2</c:f>
              <c:strCache>
                <c:ptCount val="1"/>
                <c:pt idx="0">
                  <c:v>with_location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'model comparsion'!$A$3:$A$7</c:f>
              <c:strCache>
                <c:ptCount val="4"/>
                <c:pt idx="0">
                  <c:v>Gemini</c:v>
                </c:pt>
                <c:pt idx="1">
                  <c:v>Claude</c:v>
                </c:pt>
                <c:pt idx="2">
                  <c:v>GPT-3.5</c:v>
                </c:pt>
                <c:pt idx="3">
                  <c:v>GPT-4</c:v>
                </c:pt>
              </c:strCache>
            </c:strRef>
          </c:cat>
          <c:val>
            <c:numRef>
              <c:f>'model comparsion'!$D$3:$D$7</c:f>
              <c:numCache>
                <c:formatCode>General</c:formatCode>
                <c:ptCount val="4"/>
                <c:pt idx="0">
                  <c:v>33.333333333333336</c:v>
                </c:pt>
                <c:pt idx="1">
                  <c:v>38.333333333333336</c:v>
                </c:pt>
                <c:pt idx="2">
                  <c:v>36.666666666666671</c:v>
                </c:pt>
                <c:pt idx="3">
                  <c:v>35.666666666666664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F3-D641-93AD-6DC77B208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723279"/>
        <c:axId val="365465967"/>
      </c:lineChart>
      <c:catAx>
        <c:axId val="46572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65465967"/>
        <c:crosses val="autoZero"/>
        <c:auto val="1"/>
        <c:lblAlgn val="ctr"/>
        <c:lblOffset val="100"/>
        <c:noMultiLvlLbl val="0"/>
      </c:catAx>
      <c:valAx>
        <c:axId val="365465967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46572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[correct_ratio_df.xlsx]prompt comparsion!PivotTable6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'prompt comparsion'!$B$1:$B$2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'prompt comparsion'!$A$3:$A$6</c:f>
              <c:strCache>
                <c:ptCount val="3"/>
                <c:pt idx="0">
                  <c:v>basic</c:v>
                </c:pt>
                <c:pt idx="1">
                  <c:v>with_lib</c:v>
                </c:pt>
                <c:pt idx="2">
                  <c:v>with_location</c:v>
                </c:pt>
              </c:strCache>
            </c:strRef>
          </c:cat>
          <c:val>
            <c:numRef>
              <c:f>'prompt comparsion'!$B$3:$B$6</c:f>
              <c:numCache>
                <c:formatCode>General</c:formatCode>
                <c:ptCount val="3"/>
                <c:pt idx="0">
                  <c:v>0.61666666666666659</c:v>
                </c:pt>
                <c:pt idx="1">
                  <c:v>0.71666666666666667</c:v>
                </c:pt>
                <c:pt idx="2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7D-A94E-BAFC-2B38A319721A}"/>
            </c:ext>
          </c:extLst>
        </c:ser>
        <c:ser>
          <c:idx val="1"/>
          <c:order val="1"/>
          <c:tx>
            <c:strRef>
              <c:f>'prompt comparsion'!$C$1:$C$2</c:f>
              <c:strCache>
                <c:ptCount val="1"/>
                <c:pt idx="0">
                  <c:v>GPT-3.5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'prompt comparsion'!$A$3:$A$6</c:f>
              <c:strCache>
                <c:ptCount val="3"/>
                <c:pt idx="0">
                  <c:v>basic</c:v>
                </c:pt>
                <c:pt idx="1">
                  <c:v>with_lib</c:v>
                </c:pt>
                <c:pt idx="2">
                  <c:v>with_location</c:v>
                </c:pt>
              </c:strCache>
            </c:strRef>
          </c:cat>
          <c:val>
            <c:numRef>
              <c:f>'prompt comparsion'!$C$3:$C$6</c:f>
              <c:numCache>
                <c:formatCode>General</c:formatCode>
                <c:ptCount val="3"/>
                <c:pt idx="0">
                  <c:v>0.85</c:v>
                </c:pt>
                <c:pt idx="1">
                  <c:v>0.88333333333333341</c:v>
                </c:pt>
                <c:pt idx="2">
                  <c:v>0.91666666666666674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7D-A94E-BAFC-2B38A319721A}"/>
            </c:ext>
          </c:extLst>
        </c:ser>
        <c:ser>
          <c:idx val="2"/>
          <c:order val="2"/>
          <c:tx>
            <c:strRef>
              <c:f>'prompt comparsion'!$D$1:$D$2</c:f>
              <c:strCache>
                <c:ptCount val="1"/>
                <c:pt idx="0">
                  <c:v>GPT-4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'prompt comparsion'!$A$3:$A$6</c:f>
              <c:strCache>
                <c:ptCount val="3"/>
                <c:pt idx="0">
                  <c:v>basic</c:v>
                </c:pt>
                <c:pt idx="1">
                  <c:v>with_lib</c:v>
                </c:pt>
                <c:pt idx="2">
                  <c:v>with_location</c:v>
                </c:pt>
              </c:strCache>
            </c:strRef>
          </c:cat>
          <c:val>
            <c:numRef>
              <c:f>'prompt comparsion'!$D$3:$D$6</c:f>
              <c:numCache>
                <c:formatCode>General</c:formatCode>
                <c:ptCount val="3"/>
                <c:pt idx="0">
                  <c:v>0.83333333333333326</c:v>
                </c:pt>
                <c:pt idx="1">
                  <c:v>0.82499999999999996</c:v>
                </c:pt>
                <c:pt idx="2">
                  <c:v>0.89166666666666661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7D-A94E-BAFC-2B38A319721A}"/>
            </c:ext>
          </c:extLst>
        </c:ser>
        <c:ser>
          <c:idx val="3"/>
          <c:order val="3"/>
          <c:tx>
            <c:strRef>
              <c:f>'prompt comparsion'!$E$1:$E$2</c:f>
              <c:strCache>
                <c:ptCount val="1"/>
                <c:pt idx="0">
                  <c:v>Claude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'prompt comparsion'!$A$3:$A$6</c:f>
              <c:strCache>
                <c:ptCount val="3"/>
                <c:pt idx="0">
                  <c:v>basic</c:v>
                </c:pt>
                <c:pt idx="1">
                  <c:v>with_lib</c:v>
                </c:pt>
                <c:pt idx="2">
                  <c:v>with_location</c:v>
                </c:pt>
              </c:strCache>
            </c:strRef>
          </c:cat>
          <c:val>
            <c:numRef>
              <c:f>'prompt comparsion'!$E$3:$E$6</c:f>
              <c:numCache>
                <c:formatCode>General</c:formatCode>
                <c:ptCount val="3"/>
                <c:pt idx="0">
                  <c:v>0.7</c:v>
                </c:pt>
                <c:pt idx="1">
                  <c:v>0.82499999999999996</c:v>
                </c:pt>
                <c:pt idx="2">
                  <c:v>0.95833333333333337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7D-A94E-BAFC-2B38A3197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723279"/>
        <c:axId val="365465967"/>
      </c:lineChart>
      <c:catAx>
        <c:axId val="46572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65465967"/>
        <c:crosses val="autoZero"/>
        <c:auto val="1"/>
        <c:lblAlgn val="ctr"/>
        <c:lblOffset val="100"/>
        <c:noMultiLvlLbl val="0"/>
      </c:catAx>
      <c:valAx>
        <c:axId val="365465967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46572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'stable and avaliable'!$C$1</c:f>
              <c:strCache>
                <c:ptCount val="1"/>
                <c:pt idx="0">
                  <c:v>stable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'stable and avaliable'!$A$2:$B$19</c:f>
              <c:multiLvlStrCache>
                <c:ptCount val="18"/>
                <c:lvl>
                  <c:pt idx="1">
                    <c:v>Gemini</c:v>
                  </c:pt>
                  <c:pt idx="2">
                    <c:v>GPT-3.5</c:v>
                  </c:pt>
                  <c:pt idx="3">
                    <c:v>GPT-4</c:v>
                  </c:pt>
                  <c:pt idx="4">
                    <c:v>Claude</c:v>
                  </c:pt>
                  <c:pt idx="7">
                    <c:v>Gemini</c:v>
                  </c:pt>
                  <c:pt idx="8">
                    <c:v>GPT-3.5</c:v>
                  </c:pt>
                  <c:pt idx="9">
                    <c:v>GPT-4</c:v>
                  </c:pt>
                  <c:pt idx="10">
                    <c:v>Claude</c:v>
                  </c:pt>
                  <c:pt idx="13">
                    <c:v>Gemini</c:v>
                  </c:pt>
                  <c:pt idx="14">
                    <c:v>GPT-3.5</c:v>
                  </c:pt>
                  <c:pt idx="15">
                    <c:v>GPT-4</c:v>
                  </c:pt>
                  <c:pt idx="16">
                    <c:v>Claude</c:v>
                  </c:pt>
                  <c:pt idx="17">
                    <c:v> </c:v>
                  </c:pt>
                </c:lvl>
                <c:lvl>
                  <c:pt idx="0">
                    <c:v>basic</c:v>
                  </c:pt>
                  <c:pt idx="6">
                    <c:v>with_lib</c:v>
                  </c:pt>
                  <c:pt idx="12">
                    <c:v>with_location</c:v>
                  </c:pt>
                </c:lvl>
              </c:multiLvlStrCache>
            </c:multiLvlStrRef>
          </c:cat>
          <c:val>
            <c:numRef>
              <c:f>'stable and avaliable'!$C$2:$C$19</c:f>
              <c:numCache>
                <c:formatCode>General</c:formatCode>
                <c:ptCount val="18"/>
                <c:pt idx="1">
                  <c:v>0.47499999999999998</c:v>
                </c:pt>
                <c:pt idx="2">
                  <c:v>0.8</c:v>
                </c:pt>
                <c:pt idx="3">
                  <c:v>0.82499999999999996</c:v>
                </c:pt>
                <c:pt idx="4">
                  <c:v>0.55000000000000004</c:v>
                </c:pt>
                <c:pt idx="7">
                  <c:v>0.55000000000000004</c:v>
                </c:pt>
                <c:pt idx="8">
                  <c:v>0.82499999999999996</c:v>
                </c:pt>
                <c:pt idx="9">
                  <c:v>0.75</c:v>
                </c:pt>
                <c:pt idx="10">
                  <c:v>0.77500000000000002</c:v>
                </c:pt>
                <c:pt idx="13">
                  <c:v>0.7</c:v>
                </c:pt>
                <c:pt idx="14">
                  <c:v>0.875</c:v>
                </c:pt>
                <c:pt idx="15">
                  <c:v>0.82499999999999996</c:v>
                </c:pt>
                <c:pt idx="16">
                  <c:v>0.92500000000000004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2-7A43-9A8A-94FA303A66F0}"/>
            </c:ext>
          </c:extLst>
        </c:ser>
        <c:ser>
          <c:idx val="1"/>
          <c:order val="1"/>
          <c:tx>
            <c:strRef>
              <c:f>'stable and avaliable'!$D$1</c:f>
              <c:strCache>
                <c:ptCount val="1"/>
                <c:pt idx="0">
                  <c:v>only avaliable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'stable and avaliable'!$A$2:$B$19</c:f>
              <c:multiLvlStrCache>
                <c:ptCount val="18"/>
                <c:lvl>
                  <c:pt idx="1">
                    <c:v>Gemini</c:v>
                  </c:pt>
                  <c:pt idx="2">
                    <c:v>GPT-3.5</c:v>
                  </c:pt>
                  <c:pt idx="3">
                    <c:v>GPT-4</c:v>
                  </c:pt>
                  <c:pt idx="4">
                    <c:v>Claude</c:v>
                  </c:pt>
                  <c:pt idx="7">
                    <c:v>Gemini</c:v>
                  </c:pt>
                  <c:pt idx="8">
                    <c:v>GPT-3.5</c:v>
                  </c:pt>
                  <c:pt idx="9">
                    <c:v>GPT-4</c:v>
                  </c:pt>
                  <c:pt idx="10">
                    <c:v>Claude</c:v>
                  </c:pt>
                  <c:pt idx="13">
                    <c:v>Gemini</c:v>
                  </c:pt>
                  <c:pt idx="14">
                    <c:v>GPT-3.5</c:v>
                  </c:pt>
                  <c:pt idx="15">
                    <c:v>GPT-4</c:v>
                  </c:pt>
                  <c:pt idx="16">
                    <c:v>Claude</c:v>
                  </c:pt>
                  <c:pt idx="17">
                    <c:v> </c:v>
                  </c:pt>
                </c:lvl>
                <c:lvl>
                  <c:pt idx="0">
                    <c:v>basic</c:v>
                  </c:pt>
                  <c:pt idx="6">
                    <c:v>with_lib</c:v>
                  </c:pt>
                  <c:pt idx="12">
                    <c:v>with_location</c:v>
                  </c:pt>
                </c:lvl>
              </c:multiLvlStrCache>
            </c:multiLvlStrRef>
          </c:cat>
          <c:val>
            <c:numRef>
              <c:f>'stable and avaliable'!$D$2:$D$19</c:f>
              <c:numCache>
                <c:formatCode>General</c:formatCode>
                <c:ptCount val="18"/>
                <c:pt idx="1">
                  <c:v>0.27500000000000002</c:v>
                </c:pt>
                <c:pt idx="2">
                  <c:v>7.4999999999999997E-2</c:v>
                </c:pt>
                <c:pt idx="3">
                  <c:v>2.5000000000000001E-2</c:v>
                </c:pt>
                <c:pt idx="4">
                  <c:v>0.27500000000000002</c:v>
                </c:pt>
                <c:pt idx="7">
                  <c:v>0.3</c:v>
                </c:pt>
                <c:pt idx="8">
                  <c:v>0.1</c:v>
                </c:pt>
                <c:pt idx="9">
                  <c:v>0.125</c:v>
                </c:pt>
                <c:pt idx="10">
                  <c:v>0.1</c:v>
                </c:pt>
                <c:pt idx="13">
                  <c:v>0.22500000000000001</c:v>
                </c:pt>
                <c:pt idx="14">
                  <c:v>7.4999999999999997E-2</c:v>
                </c:pt>
                <c:pt idx="15">
                  <c:v>0.125</c:v>
                </c:pt>
                <c:pt idx="1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2-7A43-9A8A-94FA303A6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82748111"/>
        <c:axId val="1782749823"/>
      </c:barChart>
      <c:catAx>
        <c:axId val="178274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82749823"/>
        <c:crosses val="autoZero"/>
        <c:auto val="1"/>
        <c:lblAlgn val="ctr"/>
        <c:lblOffset val="100"/>
        <c:noMultiLvlLbl val="0"/>
      </c:catAx>
      <c:valAx>
        <c:axId val="17827498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8274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4</xdr:col>
      <xdr:colOff>228600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EA478D-4397-FDE7-909A-352FFD639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127752</xdr:colOff>
      <xdr:row>8</xdr:row>
      <xdr:rowOff>39678</xdr:rowOff>
    </xdr:from>
    <xdr:to>
      <xdr:col>4</xdr:col>
      <xdr:colOff>356352</xdr:colOff>
      <xdr:row>21</xdr:row>
      <xdr:rowOff>140977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7AD37-8329-D34E-91F0-C43BDF134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816292</xdr:colOff>
      <xdr:row>3</xdr:row>
      <xdr:rowOff>105044</xdr:rowOff>
    </xdr:from>
    <xdr:to>
      <xdr:col>13</xdr:col>
      <xdr:colOff>800172</xdr:colOff>
      <xdr:row>19</xdr:row>
      <xdr:rowOff>14682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F2261-36A3-439C-09A2-B36D5F397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許家綸" refreshedDate="45464.67357337963" createdVersion="8" refreshedVersion="8" minRefreshableVersion="3" recordCount="480" xr:uid="{5F69E50E-ED8A-B345-935D-86BDB13FDEA6}">
  <cacheSource type="worksheet">
    <worksheetSource name="correct_ratio_df__2"/>
  </cacheSource>
  <cacheFields count="14">
    <cacheField name="Column1" numFmtId="0">
      <sharedItems containsSemiMixedTypes="0" containsString="0" containsNumber="1" containsInteger="1" minValue="0" maxValue="479"/>
    </cacheField>
    <cacheField name="prog_name" numFmtId="0">
      <sharedItems/>
    </cacheField>
    <cacheField name="bug_type" numFmtId="0">
      <sharedItems/>
    </cacheField>
    <cacheField name="bug_consequence" numFmtId="0">
      <sharedItems/>
    </cacheField>
    <cacheField name="bug_impact" numFmtId="0">
      <sharedItems/>
    </cacheField>
    <cacheField name="exp_name" numFmtId="0">
      <sharedItems/>
    </cacheField>
    <cacheField name="correct_ratio" numFmtId="0">
      <sharedItems containsSemiMixedTypes="0" containsString="0" containsNumber="1" minValue="0" maxValue="1"/>
    </cacheField>
    <cacheField name="prompt" numFmtId="0">
      <sharedItems count="3">
        <s v="with_location"/>
        <s v="with_lib"/>
        <s v="basic"/>
      </sharedItems>
    </cacheField>
    <cacheField name="model" numFmtId="0">
      <sharedItems count="6">
        <s v="Gemini"/>
        <s v="GPT-3.5"/>
        <s v="Claude"/>
        <s v="GPT-4"/>
        <s v="gpt35" u="1"/>
        <s v="gpt4" u="1"/>
      </sharedItems>
    </cacheField>
    <cacheField name="available" numFmtId="0">
      <sharedItems containsNonDate="0" containsString="0" containsBlank="1"/>
    </cacheField>
    <cacheField name="stable" numFmtId="0">
      <sharedItems containsNonDate="0" containsString="0" containsBlank="1"/>
    </cacheField>
    <cacheField name="calc available" numFmtId="0">
      <sharedItems containsSemiMixedTypes="0" containsString="0" containsNumber="1" containsInteger="1" minValue="0" maxValue="1"/>
    </cacheField>
    <cacheField name="clac stable" numFmtId="0">
      <sharedItems containsSemiMixedTypes="0" containsString="0" containsNumber="1" containsInteger="1" minValue="0" maxValue="1"/>
    </cacheField>
    <cacheField name="only avaliabl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許家綸" refreshedDate="45464.673573726854" createdVersion="8" refreshedVersion="8" minRefreshableVersion="3" recordCount="480" xr:uid="{9F026CB8-C606-3146-A170-158BF4C8063F}">
  <cacheSource type="worksheet">
    <worksheetSource name="correct_ratio_df__3"/>
  </cacheSource>
  <cacheFields count="12">
    <cacheField name="Column1" numFmtId="0">
      <sharedItems containsSemiMixedTypes="0" containsString="0" containsNumber="1" containsInteger="1" minValue="0" maxValue="479"/>
    </cacheField>
    <cacheField name="prog_name" numFmtId="0">
      <sharedItems/>
    </cacheField>
    <cacheField name="bug_type" numFmtId="0">
      <sharedItems/>
    </cacheField>
    <cacheField name="bug_consequence" numFmtId="0">
      <sharedItems/>
    </cacheField>
    <cacheField name="bug_impact" numFmtId="0">
      <sharedItems/>
    </cacheField>
    <cacheField name="exp_name" numFmtId="0">
      <sharedItems/>
    </cacheField>
    <cacheField name="correct_ratio" numFmtId="0">
      <sharedItems containsSemiMixedTypes="0" containsString="0" containsNumber="1" minValue="0" maxValue="1"/>
    </cacheField>
    <cacheField name="prompt" numFmtId="0">
      <sharedItems count="3">
        <s v="with_location"/>
        <s v="with_lib"/>
        <s v="basic"/>
      </sharedItems>
    </cacheField>
    <cacheField name="model" numFmtId="0">
      <sharedItems count="6">
        <s v="Gemini"/>
        <s v="GPT-3.5"/>
        <s v="Claude"/>
        <s v="GPT-4"/>
        <s v="gpt35" u="1"/>
        <s v="gpt4" u="1"/>
      </sharedItems>
    </cacheField>
    <cacheField name="available" numFmtId="0">
      <sharedItems containsSemiMixedTypes="0" containsString="0" containsNumber="1" containsInteger="1" minValue="0" maxValue="1"/>
    </cacheField>
    <cacheField name="stable" numFmtId="0">
      <sharedItems containsSemiMixedTypes="0" containsString="0" containsNumber="1" containsInteger="1" minValue="0" maxValue="1"/>
    </cacheField>
    <cacheField name="only avaliabl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0"/>
    <s v="bitcount"/>
    <s v="variable assign fault"/>
    <s v="infinite loop error"/>
    <s v="all-case impact"/>
    <s v="gemini-python-with_location"/>
    <n v="1"/>
    <x v="0"/>
    <x v="0"/>
    <m/>
    <m/>
    <n v="1"/>
    <n v="1"/>
    <n v="0"/>
  </r>
  <r>
    <n v="1"/>
    <s v="breadth_first_search"/>
    <s v="condition fault"/>
    <s v="infinite loop error"/>
    <s v="edge-case impact"/>
    <s v="gemini-python-with_location"/>
    <n v="0.66666666666666663"/>
    <x v="0"/>
    <x v="0"/>
    <m/>
    <m/>
    <n v="1"/>
    <n v="0"/>
    <n v="1"/>
  </r>
  <r>
    <n v="2"/>
    <s v="bucketsort"/>
    <s v="variable misuse fault"/>
    <s v="output error"/>
    <s v="all-case impact"/>
    <s v="gemini-python-with_location"/>
    <n v="1"/>
    <x v="0"/>
    <x v="0"/>
    <m/>
    <m/>
    <n v="1"/>
    <n v="1"/>
    <n v="0"/>
  </r>
  <r>
    <n v="3"/>
    <s v="depth_first_search"/>
    <s v="variable misuse fault"/>
    <s v="infinite loop error"/>
    <s v="edge-case impact"/>
    <s v="gemini-python-with_location"/>
    <n v="1"/>
    <x v="0"/>
    <x v="0"/>
    <m/>
    <m/>
    <n v="1"/>
    <n v="1"/>
    <n v="0"/>
  </r>
  <r>
    <n v="4"/>
    <s v="detect_cycle"/>
    <s v="condition fault"/>
    <s v="runtime error"/>
    <s v="edge-case impact"/>
    <s v="gemini-python-with_location"/>
    <n v="1"/>
    <x v="0"/>
    <x v="0"/>
    <m/>
    <m/>
    <n v="1"/>
    <n v="1"/>
    <n v="0"/>
  </r>
  <r>
    <n v="5"/>
    <s v="find_first_in_sorted"/>
    <s v="condition fault"/>
    <s v="infinite loop error"/>
    <s v="edge-case impact"/>
    <s v="gemini-python-with_location"/>
    <n v="1"/>
    <x v="0"/>
    <x v="0"/>
    <m/>
    <m/>
    <n v="1"/>
    <n v="1"/>
    <n v="0"/>
  </r>
  <r>
    <n v="6"/>
    <s v="find_in_sorted"/>
    <s v="indexing fault"/>
    <s v="infinite loop error"/>
    <s v="edge-case impact"/>
    <s v="gemini-python-with_location"/>
    <n v="1"/>
    <x v="0"/>
    <x v="0"/>
    <m/>
    <m/>
    <n v="1"/>
    <n v="1"/>
    <n v="0"/>
  </r>
  <r>
    <n v="7"/>
    <s v="flatten"/>
    <s v="variable misuse fault"/>
    <s v="format error"/>
    <s v="base-case impact"/>
    <s v="gemini-python-with_location"/>
    <n v="1"/>
    <x v="0"/>
    <x v="0"/>
    <m/>
    <m/>
    <n v="1"/>
    <n v="1"/>
    <n v="0"/>
  </r>
  <r>
    <n v="8"/>
    <s v="gcd"/>
    <s v="variable misuse fault"/>
    <s v="infinite loop error"/>
    <s v="base-case impact"/>
    <s v="gemini-python-with_location"/>
    <n v="1"/>
    <x v="0"/>
    <x v="0"/>
    <m/>
    <m/>
    <n v="1"/>
    <n v="1"/>
    <n v="0"/>
  </r>
  <r>
    <n v="9"/>
    <s v="get_factors"/>
    <s v="variable assign fault"/>
    <s v="output error"/>
    <s v="base-case impact"/>
    <s v="gemini-python-with_location"/>
    <n v="1"/>
    <x v="0"/>
    <x v="0"/>
    <m/>
    <m/>
    <n v="1"/>
    <n v="1"/>
    <n v="0"/>
  </r>
  <r>
    <n v="10"/>
    <s v="hanoi"/>
    <s v="variable misuse fault"/>
    <s v="output error"/>
    <s v="all-case impact"/>
    <s v="gemini-python-with_location"/>
    <n v="1"/>
    <x v="0"/>
    <x v="0"/>
    <m/>
    <m/>
    <n v="1"/>
    <n v="1"/>
    <n v="0"/>
  </r>
  <r>
    <n v="11"/>
    <s v="is_valid_parenthesization"/>
    <s v="variable assign fault"/>
    <s v="output error"/>
    <s v="edge-case impact"/>
    <s v="gemini-python-with_location"/>
    <n v="1"/>
    <x v="0"/>
    <x v="0"/>
    <m/>
    <m/>
    <n v="1"/>
    <n v="1"/>
    <n v="0"/>
  </r>
  <r>
    <n v="12"/>
    <s v="kheapsort"/>
    <s v="indexing fault"/>
    <s v="output error"/>
    <s v="base-case impact"/>
    <s v="gemini-python-with_location"/>
    <n v="1"/>
    <x v="0"/>
    <x v="0"/>
    <m/>
    <m/>
    <n v="1"/>
    <n v="1"/>
    <n v="0"/>
  </r>
  <r>
    <n v="13"/>
    <s v="knapsack"/>
    <s v="condition fault"/>
    <s v="output error"/>
    <s v="edge-case impact"/>
    <s v="gemini-python-with_location"/>
    <n v="0"/>
    <x v="0"/>
    <x v="0"/>
    <m/>
    <m/>
    <n v="0"/>
    <n v="0"/>
    <n v="0"/>
  </r>
  <r>
    <n v="14"/>
    <s v="kth"/>
    <s v="variable assign fault"/>
    <s v="runtime error"/>
    <s v="base-case impact"/>
    <s v="gemini-python-with_location"/>
    <n v="0.66666666666666663"/>
    <x v="0"/>
    <x v="0"/>
    <m/>
    <m/>
    <n v="1"/>
    <n v="0"/>
    <n v="1"/>
  </r>
  <r>
    <n v="15"/>
    <s v="lcs_length"/>
    <s v="indexing fault"/>
    <s v="output error"/>
    <s v="base-case impact"/>
    <s v="gemini-python-with_location"/>
    <n v="1"/>
    <x v="0"/>
    <x v="0"/>
    <m/>
    <m/>
    <n v="1"/>
    <n v="1"/>
    <n v="0"/>
  </r>
  <r>
    <n v="16"/>
    <s v="levenshtein"/>
    <s v="variable assign fault"/>
    <s v="output error"/>
    <s v="base-case impact"/>
    <s v="gemini-python-with_location"/>
    <n v="1"/>
    <x v="0"/>
    <x v="0"/>
    <m/>
    <m/>
    <n v="1"/>
    <n v="1"/>
    <n v="0"/>
  </r>
  <r>
    <n v="17"/>
    <s v="lis"/>
    <s v="variable assign fault"/>
    <s v="output error"/>
    <s v="base-case impact"/>
    <s v="gemini-python-with_location"/>
    <n v="0.66666666666666663"/>
    <x v="0"/>
    <x v="0"/>
    <m/>
    <m/>
    <n v="1"/>
    <n v="0"/>
    <n v="1"/>
  </r>
  <r>
    <n v="18"/>
    <s v="longest_common_subsequence"/>
    <s v="indexing fault"/>
    <s v="output error"/>
    <s v="edge-case impact"/>
    <s v="gemini-python-with_location"/>
    <n v="1"/>
    <x v="0"/>
    <x v="0"/>
    <m/>
    <m/>
    <n v="1"/>
    <n v="1"/>
    <n v="0"/>
  </r>
  <r>
    <n v="19"/>
    <s v="max_sublist_sum"/>
    <s v="variable assign fault"/>
    <s v="output error"/>
    <s v="base-case impact"/>
    <s v="gemini-python-with_location"/>
    <n v="0.33333333333333331"/>
    <x v="0"/>
    <x v="0"/>
    <m/>
    <m/>
    <n v="1"/>
    <n v="0"/>
    <n v="1"/>
  </r>
  <r>
    <n v="20"/>
    <s v="mergesort"/>
    <s v="condition fault"/>
    <s v="infinite loop error"/>
    <s v="all-case impact"/>
    <s v="gemini-python-with_location"/>
    <n v="1"/>
    <x v="0"/>
    <x v="0"/>
    <m/>
    <m/>
    <n v="1"/>
    <n v="1"/>
    <n v="0"/>
  </r>
  <r>
    <n v="21"/>
    <s v="minimum_spanning_tree"/>
    <s v="variable misuse fault"/>
    <s v="runtime error"/>
    <s v="all-case impact"/>
    <s v="gemini-python-with_location"/>
    <n v="0"/>
    <x v="0"/>
    <x v="0"/>
    <m/>
    <m/>
    <n v="0"/>
    <n v="0"/>
    <n v="0"/>
  </r>
  <r>
    <n v="22"/>
    <s v="next_palindrome"/>
    <s v="variable assign fault"/>
    <s v="format error"/>
    <s v="edge-case impact"/>
    <s v="gemini-python-with_location"/>
    <n v="0"/>
    <x v="0"/>
    <x v="0"/>
    <m/>
    <m/>
    <n v="0"/>
    <n v="0"/>
    <n v="0"/>
  </r>
  <r>
    <n v="23"/>
    <s v="next_permutation"/>
    <s v="condition fault"/>
    <s v="output error"/>
    <s v="all-case impact"/>
    <s v="gemini-python-with_location"/>
    <n v="1"/>
    <x v="0"/>
    <x v="0"/>
    <m/>
    <m/>
    <n v="1"/>
    <n v="1"/>
    <n v="0"/>
  </r>
  <r>
    <n v="24"/>
    <s v="pascal"/>
    <s v="indexing fault"/>
    <s v="runtime error"/>
    <s v="base-case impact"/>
    <s v="gemini-python-with_location"/>
    <n v="1"/>
    <x v="0"/>
    <x v="0"/>
    <m/>
    <m/>
    <n v="1"/>
    <n v="1"/>
    <n v="0"/>
  </r>
  <r>
    <n v="25"/>
    <s v="possible_change"/>
    <s v="condition fault"/>
    <s v="runtime error"/>
    <s v="edge-case impact"/>
    <s v="gemini-python-with_location"/>
    <n v="1"/>
    <x v="0"/>
    <x v="0"/>
    <m/>
    <m/>
    <n v="1"/>
    <n v="1"/>
    <n v="0"/>
  </r>
  <r>
    <n v="26"/>
    <s v="powerset"/>
    <s v="variable assign fault"/>
    <s v="output error"/>
    <s v="base-case impact"/>
    <s v="gemini-python-with_location"/>
    <n v="1"/>
    <x v="0"/>
    <x v="0"/>
    <m/>
    <m/>
    <n v="1"/>
    <n v="1"/>
    <n v="0"/>
  </r>
  <r>
    <n v="27"/>
    <s v="quicksort"/>
    <s v="condition fault"/>
    <s v="output error"/>
    <s v="edge-case impact"/>
    <s v="gemini-python-with_location"/>
    <n v="1"/>
    <x v="0"/>
    <x v="0"/>
    <m/>
    <m/>
    <n v="1"/>
    <n v="1"/>
    <n v="0"/>
  </r>
  <r>
    <n v="28"/>
    <s v="reverse_linked_list"/>
    <s v="variable assign missing fault"/>
    <s v="output error"/>
    <s v="all-case impact"/>
    <s v="gemini-python-with_location"/>
    <n v="1"/>
    <x v="0"/>
    <x v="0"/>
    <m/>
    <m/>
    <n v="1"/>
    <n v="1"/>
    <n v="0"/>
  </r>
  <r>
    <n v="29"/>
    <s v="rpn_eval"/>
    <s v="variable assign fault"/>
    <s v="output error"/>
    <s v="edge-case impact"/>
    <s v="gemini-python-with_location"/>
    <n v="0.66666666666666663"/>
    <x v="0"/>
    <x v="0"/>
    <m/>
    <m/>
    <n v="1"/>
    <n v="0"/>
    <n v="1"/>
  </r>
  <r>
    <n v="30"/>
    <s v="shortest_path_length"/>
    <s v="variable assign fault"/>
    <s v="output error"/>
    <s v="base-case impact"/>
    <s v="gemini-python-with_location"/>
    <n v="0.66666666666666663"/>
    <x v="0"/>
    <x v="0"/>
    <m/>
    <m/>
    <n v="1"/>
    <n v="0"/>
    <n v="1"/>
  </r>
  <r>
    <n v="31"/>
    <s v="shortest_path_lengths"/>
    <s v="indexing fault"/>
    <s v="output error"/>
    <s v="all-case impact"/>
    <s v="gemini-python-with_location"/>
    <n v="1"/>
    <x v="0"/>
    <x v="0"/>
    <m/>
    <m/>
    <n v="1"/>
    <n v="1"/>
    <n v="0"/>
  </r>
  <r>
    <n v="32"/>
    <s v="shortest_paths"/>
    <s v="variable misuse fault"/>
    <s v="output error"/>
    <s v="all-case impact"/>
    <s v="gemini-python-with_location"/>
    <n v="0.66666666666666663"/>
    <x v="0"/>
    <x v="0"/>
    <m/>
    <m/>
    <n v="1"/>
    <n v="0"/>
    <n v="1"/>
  </r>
  <r>
    <n v="33"/>
    <s v="shunting_yard"/>
    <s v="variable assign missing fault"/>
    <s v="output error"/>
    <s v="base-case impact"/>
    <s v="gemini-python-with_location"/>
    <n v="0.66666666666666663"/>
    <x v="0"/>
    <x v="0"/>
    <m/>
    <m/>
    <n v="1"/>
    <n v="0"/>
    <n v="1"/>
  </r>
  <r>
    <n v="34"/>
    <s v="sieve"/>
    <s v="condition fault"/>
    <s v="output error"/>
    <s v="base-case impact"/>
    <s v="gemini-python-with_location"/>
    <n v="1"/>
    <x v="0"/>
    <x v="0"/>
    <m/>
    <m/>
    <n v="1"/>
    <n v="1"/>
    <n v="0"/>
  </r>
  <r>
    <n v="35"/>
    <s v="sqrt"/>
    <s v="condition fault"/>
    <s v="infinite loop error"/>
    <s v="base-case impact"/>
    <s v="gemini-python-with_location"/>
    <n v="1"/>
    <x v="0"/>
    <x v="0"/>
    <m/>
    <m/>
    <n v="1"/>
    <n v="1"/>
    <n v="0"/>
  </r>
  <r>
    <n v="36"/>
    <s v="subsequences"/>
    <s v="variable assign fault"/>
    <s v="output error"/>
    <s v="edge-case impact"/>
    <s v="gemini-python-with_location"/>
    <n v="1"/>
    <x v="0"/>
    <x v="0"/>
    <m/>
    <m/>
    <n v="1"/>
    <n v="1"/>
    <n v="0"/>
  </r>
  <r>
    <n v="37"/>
    <s v="to_base"/>
    <s v="variable assign fault"/>
    <s v="output error"/>
    <s v="base-case impact"/>
    <s v="gemini-python-with_location"/>
    <n v="1"/>
    <x v="0"/>
    <x v="0"/>
    <m/>
    <m/>
    <n v="1"/>
    <n v="1"/>
    <n v="0"/>
  </r>
  <r>
    <n v="38"/>
    <s v="topological_ordering"/>
    <s v="condition fault"/>
    <s v="output error"/>
    <s v="all-case impact"/>
    <s v="gemini-python-with_location"/>
    <n v="0.33333333333333331"/>
    <x v="0"/>
    <x v="0"/>
    <m/>
    <m/>
    <n v="1"/>
    <n v="0"/>
    <n v="1"/>
  </r>
  <r>
    <n v="39"/>
    <s v="wrap"/>
    <s v="variable assign missing fault"/>
    <s v="format error"/>
    <s v="all-case impact"/>
    <s v="gemini-python-with_location"/>
    <n v="1"/>
    <x v="0"/>
    <x v="0"/>
    <m/>
    <m/>
    <n v="1"/>
    <n v="1"/>
    <n v="0"/>
  </r>
  <r>
    <n v="40"/>
    <s v="bitcount"/>
    <s v="variable assign fault"/>
    <s v="infinite loop error"/>
    <s v="all-case impact"/>
    <s v="gpt35-python-with_lib"/>
    <n v="1"/>
    <x v="1"/>
    <x v="1"/>
    <m/>
    <m/>
    <n v="1"/>
    <n v="1"/>
    <n v="0"/>
  </r>
  <r>
    <n v="41"/>
    <s v="breadth_first_search"/>
    <s v="condition fault"/>
    <s v="infinite loop error"/>
    <s v="edge-case impact"/>
    <s v="gpt35-python-with_lib"/>
    <n v="1"/>
    <x v="1"/>
    <x v="1"/>
    <m/>
    <m/>
    <n v="1"/>
    <n v="1"/>
    <n v="0"/>
  </r>
  <r>
    <n v="42"/>
    <s v="bucketsort"/>
    <s v="variable misuse fault"/>
    <s v="output error"/>
    <s v="all-case impact"/>
    <s v="gpt35-python-with_lib"/>
    <n v="1"/>
    <x v="1"/>
    <x v="1"/>
    <m/>
    <m/>
    <n v="1"/>
    <n v="1"/>
    <n v="0"/>
  </r>
  <r>
    <n v="43"/>
    <s v="depth_first_search"/>
    <s v="variable misuse fault"/>
    <s v="infinite loop error"/>
    <s v="edge-case impact"/>
    <s v="gpt35-python-with_lib"/>
    <n v="1"/>
    <x v="1"/>
    <x v="1"/>
    <m/>
    <m/>
    <n v="1"/>
    <n v="1"/>
    <n v="0"/>
  </r>
  <r>
    <n v="44"/>
    <s v="detect_cycle"/>
    <s v="condition fault"/>
    <s v="runtime error"/>
    <s v="edge-case impact"/>
    <s v="gpt35-python-with_lib"/>
    <n v="1"/>
    <x v="1"/>
    <x v="1"/>
    <m/>
    <m/>
    <n v="1"/>
    <n v="1"/>
    <n v="0"/>
  </r>
  <r>
    <n v="45"/>
    <s v="find_first_in_sorted"/>
    <s v="condition fault"/>
    <s v="infinite loop error"/>
    <s v="edge-case impact"/>
    <s v="gpt35-python-with_lib"/>
    <n v="1"/>
    <x v="1"/>
    <x v="1"/>
    <m/>
    <m/>
    <n v="1"/>
    <n v="1"/>
    <n v="0"/>
  </r>
  <r>
    <n v="46"/>
    <s v="find_in_sorted"/>
    <s v="indexing fault"/>
    <s v="infinite loop error"/>
    <s v="edge-case impact"/>
    <s v="gpt35-python-with_lib"/>
    <n v="1"/>
    <x v="1"/>
    <x v="1"/>
    <m/>
    <m/>
    <n v="1"/>
    <n v="1"/>
    <n v="0"/>
  </r>
  <r>
    <n v="47"/>
    <s v="flatten"/>
    <s v="variable misuse fault"/>
    <s v="format error"/>
    <s v="base-case impact"/>
    <s v="gpt35-python-with_lib"/>
    <n v="1"/>
    <x v="1"/>
    <x v="1"/>
    <m/>
    <m/>
    <n v="1"/>
    <n v="1"/>
    <n v="0"/>
  </r>
  <r>
    <n v="48"/>
    <s v="gcd"/>
    <s v="variable misuse fault"/>
    <s v="infinite loop error"/>
    <s v="base-case impact"/>
    <s v="gpt35-python-with_lib"/>
    <n v="1"/>
    <x v="1"/>
    <x v="1"/>
    <m/>
    <m/>
    <n v="1"/>
    <n v="1"/>
    <n v="0"/>
  </r>
  <r>
    <n v="49"/>
    <s v="get_factors"/>
    <s v="variable assign fault"/>
    <s v="output error"/>
    <s v="base-case impact"/>
    <s v="gpt35-python-with_lib"/>
    <n v="0.66666666666666663"/>
    <x v="1"/>
    <x v="1"/>
    <m/>
    <m/>
    <n v="1"/>
    <n v="0"/>
    <n v="1"/>
  </r>
  <r>
    <n v="50"/>
    <s v="hanoi"/>
    <s v="variable misuse fault"/>
    <s v="output error"/>
    <s v="all-case impact"/>
    <s v="gpt35-python-with_lib"/>
    <n v="1"/>
    <x v="1"/>
    <x v="1"/>
    <m/>
    <m/>
    <n v="1"/>
    <n v="1"/>
    <n v="0"/>
  </r>
  <r>
    <n v="51"/>
    <s v="is_valid_parenthesization"/>
    <s v="variable assign fault"/>
    <s v="output error"/>
    <s v="edge-case impact"/>
    <s v="gpt35-python-with_lib"/>
    <n v="1"/>
    <x v="1"/>
    <x v="1"/>
    <m/>
    <m/>
    <n v="1"/>
    <n v="1"/>
    <n v="0"/>
  </r>
  <r>
    <n v="52"/>
    <s v="kheapsort"/>
    <s v="indexing fault"/>
    <s v="output error"/>
    <s v="base-case impact"/>
    <s v="gpt35-python-with_lib"/>
    <n v="1"/>
    <x v="1"/>
    <x v="1"/>
    <m/>
    <m/>
    <n v="1"/>
    <n v="1"/>
    <n v="0"/>
  </r>
  <r>
    <n v="53"/>
    <s v="knapsack"/>
    <s v="condition fault"/>
    <s v="output error"/>
    <s v="edge-case impact"/>
    <s v="gpt35-python-with_lib"/>
    <n v="1"/>
    <x v="1"/>
    <x v="1"/>
    <m/>
    <m/>
    <n v="1"/>
    <n v="1"/>
    <n v="0"/>
  </r>
  <r>
    <n v="54"/>
    <s v="kth"/>
    <s v="variable assign fault"/>
    <s v="runtime error"/>
    <s v="base-case impact"/>
    <s v="gpt35-python-with_lib"/>
    <n v="1"/>
    <x v="1"/>
    <x v="1"/>
    <m/>
    <m/>
    <n v="1"/>
    <n v="1"/>
    <n v="0"/>
  </r>
  <r>
    <n v="55"/>
    <s v="lcs_length"/>
    <s v="indexing fault"/>
    <s v="output error"/>
    <s v="base-case impact"/>
    <s v="gpt35-python-with_lib"/>
    <n v="1"/>
    <x v="1"/>
    <x v="1"/>
    <m/>
    <m/>
    <n v="1"/>
    <n v="1"/>
    <n v="0"/>
  </r>
  <r>
    <n v="56"/>
    <s v="levenshtein"/>
    <s v="variable assign fault"/>
    <s v="output error"/>
    <s v="base-case impact"/>
    <s v="gpt35-python-with_lib"/>
    <n v="0.66666666666666663"/>
    <x v="1"/>
    <x v="1"/>
    <m/>
    <m/>
    <n v="1"/>
    <n v="0"/>
    <n v="1"/>
  </r>
  <r>
    <n v="57"/>
    <s v="lis"/>
    <s v="variable assign fault"/>
    <s v="output error"/>
    <s v="base-case impact"/>
    <s v="gpt35-python-with_lib"/>
    <n v="0"/>
    <x v="1"/>
    <x v="1"/>
    <m/>
    <m/>
    <n v="0"/>
    <n v="0"/>
    <n v="0"/>
  </r>
  <r>
    <n v="58"/>
    <s v="longest_common_subsequence"/>
    <s v="indexing fault"/>
    <s v="output error"/>
    <s v="edge-case impact"/>
    <s v="gpt35-python-with_lib"/>
    <n v="1"/>
    <x v="1"/>
    <x v="1"/>
    <m/>
    <m/>
    <n v="1"/>
    <n v="1"/>
    <n v="0"/>
  </r>
  <r>
    <n v="59"/>
    <s v="max_sublist_sum"/>
    <s v="variable assign fault"/>
    <s v="output error"/>
    <s v="base-case impact"/>
    <s v="gpt35-python-with_lib"/>
    <n v="1"/>
    <x v="1"/>
    <x v="1"/>
    <m/>
    <m/>
    <n v="1"/>
    <n v="1"/>
    <n v="0"/>
  </r>
  <r>
    <n v="60"/>
    <s v="mergesort"/>
    <s v="condition fault"/>
    <s v="infinite loop error"/>
    <s v="all-case impact"/>
    <s v="gpt35-python-with_lib"/>
    <n v="1"/>
    <x v="1"/>
    <x v="1"/>
    <m/>
    <m/>
    <n v="1"/>
    <n v="1"/>
    <n v="0"/>
  </r>
  <r>
    <n v="61"/>
    <s v="minimum_spanning_tree"/>
    <s v="variable misuse fault"/>
    <s v="runtime error"/>
    <s v="all-case impact"/>
    <s v="gpt35-python-with_lib"/>
    <n v="1"/>
    <x v="1"/>
    <x v="1"/>
    <m/>
    <m/>
    <n v="1"/>
    <n v="1"/>
    <n v="0"/>
  </r>
  <r>
    <n v="62"/>
    <s v="next_palindrome"/>
    <s v="variable assign fault"/>
    <s v="format error"/>
    <s v="edge-case impact"/>
    <s v="gpt35-python-with_lib"/>
    <n v="1"/>
    <x v="1"/>
    <x v="1"/>
    <m/>
    <m/>
    <n v="1"/>
    <n v="1"/>
    <n v="0"/>
  </r>
  <r>
    <n v="63"/>
    <s v="next_permutation"/>
    <s v="condition fault"/>
    <s v="output error"/>
    <s v="all-case impact"/>
    <s v="gpt35-python-with_lib"/>
    <n v="1"/>
    <x v="1"/>
    <x v="1"/>
    <m/>
    <m/>
    <n v="1"/>
    <n v="1"/>
    <n v="0"/>
  </r>
  <r>
    <n v="64"/>
    <s v="pascal"/>
    <s v="indexing fault"/>
    <s v="runtime error"/>
    <s v="base-case impact"/>
    <s v="gpt35-python-with_lib"/>
    <n v="1"/>
    <x v="1"/>
    <x v="1"/>
    <m/>
    <m/>
    <n v="1"/>
    <n v="1"/>
    <n v="0"/>
  </r>
  <r>
    <n v="65"/>
    <s v="possible_change"/>
    <s v="condition fault"/>
    <s v="runtime error"/>
    <s v="edge-case impact"/>
    <s v="gpt35-python-with_lib"/>
    <n v="1"/>
    <x v="1"/>
    <x v="1"/>
    <m/>
    <m/>
    <n v="1"/>
    <n v="1"/>
    <n v="0"/>
  </r>
  <r>
    <n v="66"/>
    <s v="powerset"/>
    <s v="variable assign fault"/>
    <s v="output error"/>
    <s v="base-case impact"/>
    <s v="gpt35-python-with_lib"/>
    <n v="1"/>
    <x v="1"/>
    <x v="1"/>
    <m/>
    <m/>
    <n v="1"/>
    <n v="1"/>
    <n v="0"/>
  </r>
  <r>
    <n v="67"/>
    <s v="quicksort"/>
    <s v="condition fault"/>
    <s v="output error"/>
    <s v="edge-case impact"/>
    <s v="gpt35-python-with_lib"/>
    <n v="1"/>
    <x v="1"/>
    <x v="1"/>
    <m/>
    <m/>
    <n v="1"/>
    <n v="1"/>
    <n v="0"/>
  </r>
  <r>
    <n v="68"/>
    <s v="reverse_linked_list"/>
    <s v="variable assign missing fault"/>
    <s v="output error"/>
    <s v="all-case impact"/>
    <s v="gpt35-python-with_lib"/>
    <n v="1"/>
    <x v="1"/>
    <x v="1"/>
    <m/>
    <m/>
    <n v="1"/>
    <n v="1"/>
    <n v="0"/>
  </r>
  <r>
    <n v="69"/>
    <s v="rpn_eval"/>
    <s v="variable assign fault"/>
    <s v="output error"/>
    <s v="edge-case impact"/>
    <s v="gpt35-python-with_lib"/>
    <n v="1"/>
    <x v="1"/>
    <x v="1"/>
    <m/>
    <m/>
    <n v="1"/>
    <n v="1"/>
    <n v="0"/>
  </r>
  <r>
    <n v="70"/>
    <s v="shortest_path_length"/>
    <s v="variable assign fault"/>
    <s v="output error"/>
    <s v="base-case impact"/>
    <s v="gpt35-python-with_lib"/>
    <n v="0.66666666666666663"/>
    <x v="1"/>
    <x v="1"/>
    <m/>
    <m/>
    <n v="1"/>
    <n v="0"/>
    <n v="1"/>
  </r>
  <r>
    <n v="71"/>
    <s v="shortest_path_lengths"/>
    <s v="indexing fault"/>
    <s v="output error"/>
    <s v="all-case impact"/>
    <s v="gpt35-python-with_lib"/>
    <n v="1"/>
    <x v="1"/>
    <x v="1"/>
    <m/>
    <m/>
    <n v="1"/>
    <n v="1"/>
    <n v="0"/>
  </r>
  <r>
    <n v="72"/>
    <s v="shortest_paths"/>
    <s v="variable misuse fault"/>
    <s v="output error"/>
    <s v="all-case impact"/>
    <s v="gpt35-python-with_lib"/>
    <n v="1"/>
    <x v="1"/>
    <x v="1"/>
    <m/>
    <m/>
    <n v="1"/>
    <n v="1"/>
    <n v="0"/>
  </r>
  <r>
    <n v="73"/>
    <s v="shunting_yard"/>
    <s v="variable assign missing fault"/>
    <s v="output error"/>
    <s v="base-case impact"/>
    <s v="gpt35-python-with_lib"/>
    <n v="1"/>
    <x v="1"/>
    <x v="1"/>
    <m/>
    <m/>
    <n v="1"/>
    <n v="1"/>
    <n v="0"/>
  </r>
  <r>
    <n v="74"/>
    <s v="sieve"/>
    <s v="condition fault"/>
    <s v="output error"/>
    <s v="base-case impact"/>
    <s v="gpt35-python-with_lib"/>
    <n v="1"/>
    <x v="1"/>
    <x v="1"/>
    <m/>
    <m/>
    <n v="1"/>
    <n v="1"/>
    <n v="0"/>
  </r>
  <r>
    <n v="75"/>
    <s v="sqrt"/>
    <s v="condition fault"/>
    <s v="infinite loop error"/>
    <s v="base-case impact"/>
    <s v="gpt35-python-with_lib"/>
    <n v="1"/>
    <x v="1"/>
    <x v="1"/>
    <m/>
    <m/>
    <n v="1"/>
    <n v="1"/>
    <n v="0"/>
  </r>
  <r>
    <n v="76"/>
    <s v="subsequences"/>
    <s v="variable assign fault"/>
    <s v="output error"/>
    <s v="edge-case impact"/>
    <s v="gpt35-python-with_lib"/>
    <n v="0"/>
    <x v="1"/>
    <x v="1"/>
    <m/>
    <m/>
    <n v="0"/>
    <n v="0"/>
    <n v="0"/>
  </r>
  <r>
    <n v="77"/>
    <s v="to_base"/>
    <s v="variable assign fault"/>
    <s v="output error"/>
    <s v="base-case impact"/>
    <s v="gpt35-python-with_lib"/>
    <n v="1"/>
    <x v="1"/>
    <x v="1"/>
    <m/>
    <m/>
    <n v="1"/>
    <n v="1"/>
    <n v="0"/>
  </r>
  <r>
    <n v="78"/>
    <s v="topological_ordering"/>
    <s v="condition fault"/>
    <s v="output error"/>
    <s v="all-case impact"/>
    <s v="gpt35-python-with_lib"/>
    <n v="0.33333333333333331"/>
    <x v="1"/>
    <x v="1"/>
    <m/>
    <m/>
    <n v="1"/>
    <n v="0"/>
    <n v="1"/>
  </r>
  <r>
    <n v="79"/>
    <s v="wrap"/>
    <s v="variable assign missing fault"/>
    <s v="format error"/>
    <s v="all-case impact"/>
    <s v="gpt35-python-with_lib"/>
    <n v="0"/>
    <x v="1"/>
    <x v="1"/>
    <m/>
    <m/>
    <n v="0"/>
    <n v="0"/>
    <n v="0"/>
  </r>
  <r>
    <n v="80"/>
    <s v="bitcount"/>
    <s v="variable assign fault"/>
    <s v="infinite loop error"/>
    <s v="all-case impact"/>
    <s v="gpt35-python-with_location"/>
    <n v="1"/>
    <x v="0"/>
    <x v="1"/>
    <m/>
    <m/>
    <n v="1"/>
    <n v="1"/>
    <n v="0"/>
  </r>
  <r>
    <n v="81"/>
    <s v="breadth_first_search"/>
    <s v="condition fault"/>
    <s v="infinite loop error"/>
    <s v="edge-case impact"/>
    <s v="gpt35-python-with_location"/>
    <n v="1"/>
    <x v="0"/>
    <x v="1"/>
    <m/>
    <m/>
    <n v="1"/>
    <n v="1"/>
    <n v="0"/>
  </r>
  <r>
    <n v="82"/>
    <s v="bucketsort"/>
    <s v="variable misuse fault"/>
    <s v="output error"/>
    <s v="all-case impact"/>
    <s v="gpt35-python-with_location"/>
    <n v="1"/>
    <x v="0"/>
    <x v="1"/>
    <m/>
    <m/>
    <n v="1"/>
    <n v="1"/>
    <n v="0"/>
  </r>
  <r>
    <n v="83"/>
    <s v="depth_first_search"/>
    <s v="variable misuse fault"/>
    <s v="infinite loop error"/>
    <s v="edge-case impact"/>
    <s v="gpt35-python-with_location"/>
    <n v="1"/>
    <x v="0"/>
    <x v="1"/>
    <m/>
    <m/>
    <n v="1"/>
    <n v="1"/>
    <n v="0"/>
  </r>
  <r>
    <n v="84"/>
    <s v="detect_cycle"/>
    <s v="condition fault"/>
    <s v="runtime error"/>
    <s v="edge-case impact"/>
    <s v="gpt35-python-with_location"/>
    <n v="1"/>
    <x v="0"/>
    <x v="1"/>
    <m/>
    <m/>
    <n v="1"/>
    <n v="1"/>
    <n v="0"/>
  </r>
  <r>
    <n v="85"/>
    <s v="find_first_in_sorted"/>
    <s v="condition fault"/>
    <s v="infinite loop error"/>
    <s v="edge-case impact"/>
    <s v="gpt35-python-with_location"/>
    <n v="1"/>
    <x v="0"/>
    <x v="1"/>
    <m/>
    <m/>
    <n v="1"/>
    <n v="1"/>
    <n v="0"/>
  </r>
  <r>
    <n v="86"/>
    <s v="find_in_sorted"/>
    <s v="indexing fault"/>
    <s v="infinite loop error"/>
    <s v="edge-case impact"/>
    <s v="gpt35-python-with_location"/>
    <n v="1"/>
    <x v="0"/>
    <x v="1"/>
    <m/>
    <m/>
    <n v="1"/>
    <n v="1"/>
    <n v="0"/>
  </r>
  <r>
    <n v="87"/>
    <s v="flatten"/>
    <s v="variable misuse fault"/>
    <s v="format error"/>
    <s v="base-case impact"/>
    <s v="gpt35-python-with_location"/>
    <n v="1"/>
    <x v="0"/>
    <x v="1"/>
    <m/>
    <m/>
    <n v="1"/>
    <n v="1"/>
    <n v="0"/>
  </r>
  <r>
    <n v="88"/>
    <s v="gcd"/>
    <s v="variable misuse fault"/>
    <s v="infinite loop error"/>
    <s v="base-case impact"/>
    <s v="gpt35-python-with_location"/>
    <n v="1"/>
    <x v="0"/>
    <x v="1"/>
    <m/>
    <m/>
    <n v="1"/>
    <n v="1"/>
    <n v="0"/>
  </r>
  <r>
    <n v="89"/>
    <s v="get_factors"/>
    <s v="variable assign fault"/>
    <s v="output error"/>
    <s v="base-case impact"/>
    <s v="gpt35-python-with_location"/>
    <n v="1"/>
    <x v="0"/>
    <x v="1"/>
    <m/>
    <m/>
    <n v="1"/>
    <n v="1"/>
    <n v="0"/>
  </r>
  <r>
    <n v="90"/>
    <s v="hanoi"/>
    <s v="variable misuse fault"/>
    <s v="output error"/>
    <s v="all-case impact"/>
    <s v="gpt35-python-with_location"/>
    <n v="1"/>
    <x v="0"/>
    <x v="1"/>
    <m/>
    <m/>
    <n v="1"/>
    <n v="1"/>
    <n v="0"/>
  </r>
  <r>
    <n v="91"/>
    <s v="is_valid_parenthesization"/>
    <s v="variable assign fault"/>
    <s v="output error"/>
    <s v="edge-case impact"/>
    <s v="gpt35-python-with_location"/>
    <n v="1"/>
    <x v="0"/>
    <x v="1"/>
    <m/>
    <m/>
    <n v="1"/>
    <n v="1"/>
    <n v="0"/>
  </r>
  <r>
    <n v="92"/>
    <s v="kheapsort"/>
    <s v="indexing fault"/>
    <s v="output error"/>
    <s v="base-case impact"/>
    <s v="gpt35-python-with_location"/>
    <n v="1"/>
    <x v="0"/>
    <x v="1"/>
    <m/>
    <m/>
    <n v="1"/>
    <n v="1"/>
    <n v="0"/>
  </r>
  <r>
    <n v="93"/>
    <s v="knapsack"/>
    <s v="condition fault"/>
    <s v="output error"/>
    <s v="edge-case impact"/>
    <s v="gpt35-python-with_location"/>
    <n v="1"/>
    <x v="0"/>
    <x v="1"/>
    <m/>
    <m/>
    <n v="1"/>
    <n v="1"/>
    <n v="0"/>
  </r>
  <r>
    <n v="94"/>
    <s v="kth"/>
    <s v="variable assign fault"/>
    <s v="runtime error"/>
    <s v="base-case impact"/>
    <s v="gpt35-python-with_location"/>
    <n v="1"/>
    <x v="0"/>
    <x v="1"/>
    <m/>
    <m/>
    <n v="1"/>
    <n v="1"/>
    <n v="0"/>
  </r>
  <r>
    <n v="95"/>
    <s v="lcs_length"/>
    <s v="indexing fault"/>
    <s v="output error"/>
    <s v="base-case impact"/>
    <s v="gpt35-python-with_location"/>
    <n v="1"/>
    <x v="0"/>
    <x v="1"/>
    <m/>
    <m/>
    <n v="1"/>
    <n v="1"/>
    <n v="0"/>
  </r>
  <r>
    <n v="96"/>
    <s v="levenshtein"/>
    <s v="variable assign fault"/>
    <s v="output error"/>
    <s v="base-case impact"/>
    <s v="gpt35-python-with_location"/>
    <n v="1"/>
    <x v="0"/>
    <x v="1"/>
    <m/>
    <m/>
    <n v="1"/>
    <n v="1"/>
    <n v="0"/>
  </r>
  <r>
    <n v="97"/>
    <s v="lis"/>
    <s v="variable assign fault"/>
    <s v="output error"/>
    <s v="base-case impact"/>
    <s v="gpt35-python-with_location"/>
    <n v="0"/>
    <x v="0"/>
    <x v="1"/>
    <m/>
    <m/>
    <n v="0"/>
    <n v="0"/>
    <n v="0"/>
  </r>
  <r>
    <n v="98"/>
    <s v="longest_common_subsequence"/>
    <s v="indexing fault"/>
    <s v="output error"/>
    <s v="edge-case impact"/>
    <s v="gpt35-python-with_location"/>
    <n v="1"/>
    <x v="0"/>
    <x v="1"/>
    <m/>
    <m/>
    <n v="1"/>
    <n v="1"/>
    <n v="0"/>
  </r>
  <r>
    <n v="99"/>
    <s v="max_sublist_sum"/>
    <s v="variable assign fault"/>
    <s v="output error"/>
    <s v="base-case impact"/>
    <s v="gpt35-python-with_location"/>
    <n v="0.66666666666666663"/>
    <x v="0"/>
    <x v="1"/>
    <m/>
    <m/>
    <n v="1"/>
    <n v="0"/>
    <n v="1"/>
  </r>
  <r>
    <n v="100"/>
    <s v="mergesort"/>
    <s v="condition fault"/>
    <s v="infinite loop error"/>
    <s v="all-case impact"/>
    <s v="gpt35-python-with_location"/>
    <n v="1"/>
    <x v="0"/>
    <x v="1"/>
    <m/>
    <m/>
    <n v="1"/>
    <n v="1"/>
    <n v="0"/>
  </r>
  <r>
    <n v="101"/>
    <s v="minimum_spanning_tree"/>
    <s v="variable misuse fault"/>
    <s v="runtime error"/>
    <s v="all-case impact"/>
    <s v="gpt35-python-with_location"/>
    <n v="0.66666666666666663"/>
    <x v="0"/>
    <x v="1"/>
    <m/>
    <m/>
    <n v="1"/>
    <n v="0"/>
    <n v="1"/>
  </r>
  <r>
    <n v="102"/>
    <s v="next_palindrome"/>
    <s v="variable assign fault"/>
    <s v="format error"/>
    <s v="edge-case impact"/>
    <s v="gpt35-python-with_location"/>
    <n v="1"/>
    <x v="0"/>
    <x v="1"/>
    <m/>
    <m/>
    <n v="1"/>
    <n v="1"/>
    <n v="0"/>
  </r>
  <r>
    <n v="103"/>
    <s v="next_permutation"/>
    <s v="condition fault"/>
    <s v="output error"/>
    <s v="all-case impact"/>
    <s v="gpt35-python-with_location"/>
    <n v="1"/>
    <x v="0"/>
    <x v="1"/>
    <m/>
    <m/>
    <n v="1"/>
    <n v="1"/>
    <n v="0"/>
  </r>
  <r>
    <n v="104"/>
    <s v="pascal"/>
    <s v="indexing fault"/>
    <s v="runtime error"/>
    <s v="base-case impact"/>
    <s v="gpt35-python-with_location"/>
    <n v="1"/>
    <x v="0"/>
    <x v="1"/>
    <m/>
    <m/>
    <n v="1"/>
    <n v="1"/>
    <n v="0"/>
  </r>
  <r>
    <n v="105"/>
    <s v="possible_change"/>
    <s v="condition fault"/>
    <s v="runtime error"/>
    <s v="edge-case impact"/>
    <s v="gpt35-python-with_location"/>
    <n v="1"/>
    <x v="0"/>
    <x v="1"/>
    <m/>
    <m/>
    <n v="1"/>
    <n v="1"/>
    <n v="0"/>
  </r>
  <r>
    <n v="106"/>
    <s v="powerset"/>
    <s v="variable assign fault"/>
    <s v="output error"/>
    <s v="base-case impact"/>
    <s v="gpt35-python-with_location"/>
    <n v="1"/>
    <x v="0"/>
    <x v="1"/>
    <m/>
    <m/>
    <n v="1"/>
    <n v="1"/>
    <n v="0"/>
  </r>
  <r>
    <n v="107"/>
    <s v="quicksort"/>
    <s v="condition fault"/>
    <s v="output error"/>
    <s v="edge-case impact"/>
    <s v="gpt35-python-with_location"/>
    <n v="1"/>
    <x v="0"/>
    <x v="1"/>
    <m/>
    <m/>
    <n v="1"/>
    <n v="1"/>
    <n v="0"/>
  </r>
  <r>
    <n v="108"/>
    <s v="reverse_linked_list"/>
    <s v="variable assign missing fault"/>
    <s v="output error"/>
    <s v="all-case impact"/>
    <s v="gpt35-python-with_location"/>
    <n v="1"/>
    <x v="0"/>
    <x v="1"/>
    <m/>
    <m/>
    <n v="1"/>
    <n v="1"/>
    <n v="0"/>
  </r>
  <r>
    <n v="109"/>
    <s v="rpn_eval"/>
    <s v="variable assign fault"/>
    <s v="output error"/>
    <s v="edge-case impact"/>
    <s v="gpt35-python-with_location"/>
    <n v="1"/>
    <x v="0"/>
    <x v="1"/>
    <m/>
    <m/>
    <n v="1"/>
    <n v="1"/>
    <n v="0"/>
  </r>
  <r>
    <n v="110"/>
    <s v="shortest_path_length"/>
    <s v="variable assign fault"/>
    <s v="output error"/>
    <s v="base-case impact"/>
    <s v="gpt35-python-with_location"/>
    <n v="0"/>
    <x v="0"/>
    <x v="1"/>
    <m/>
    <m/>
    <n v="0"/>
    <n v="0"/>
    <n v="0"/>
  </r>
  <r>
    <n v="111"/>
    <s v="shortest_path_lengths"/>
    <s v="indexing fault"/>
    <s v="output error"/>
    <s v="all-case impact"/>
    <s v="gpt35-python-with_location"/>
    <n v="1"/>
    <x v="0"/>
    <x v="1"/>
    <m/>
    <m/>
    <n v="1"/>
    <n v="1"/>
    <n v="0"/>
  </r>
  <r>
    <n v="112"/>
    <s v="shortest_paths"/>
    <s v="variable misuse fault"/>
    <s v="output error"/>
    <s v="all-case impact"/>
    <s v="gpt35-python-with_location"/>
    <n v="1"/>
    <x v="0"/>
    <x v="1"/>
    <m/>
    <m/>
    <n v="1"/>
    <n v="1"/>
    <n v="0"/>
  </r>
  <r>
    <n v="113"/>
    <s v="shunting_yard"/>
    <s v="variable assign missing fault"/>
    <s v="output error"/>
    <s v="base-case impact"/>
    <s v="gpt35-python-with_location"/>
    <n v="1"/>
    <x v="0"/>
    <x v="1"/>
    <m/>
    <m/>
    <n v="1"/>
    <n v="1"/>
    <n v="0"/>
  </r>
  <r>
    <n v="114"/>
    <s v="sieve"/>
    <s v="condition fault"/>
    <s v="output error"/>
    <s v="base-case impact"/>
    <s v="gpt35-python-with_location"/>
    <n v="1"/>
    <x v="0"/>
    <x v="1"/>
    <m/>
    <m/>
    <n v="1"/>
    <n v="1"/>
    <n v="0"/>
  </r>
  <r>
    <n v="115"/>
    <s v="sqrt"/>
    <s v="condition fault"/>
    <s v="infinite loop error"/>
    <s v="base-case impact"/>
    <s v="gpt35-python-with_location"/>
    <n v="1"/>
    <x v="0"/>
    <x v="1"/>
    <m/>
    <m/>
    <n v="1"/>
    <n v="1"/>
    <n v="0"/>
  </r>
  <r>
    <n v="116"/>
    <s v="subsequences"/>
    <s v="variable assign fault"/>
    <s v="output error"/>
    <s v="edge-case impact"/>
    <s v="gpt35-python-with_location"/>
    <n v="1"/>
    <x v="0"/>
    <x v="1"/>
    <m/>
    <m/>
    <n v="1"/>
    <n v="1"/>
    <n v="0"/>
  </r>
  <r>
    <n v="117"/>
    <s v="to_base"/>
    <s v="variable assign fault"/>
    <s v="output error"/>
    <s v="base-case impact"/>
    <s v="gpt35-python-with_location"/>
    <n v="1"/>
    <x v="0"/>
    <x v="1"/>
    <m/>
    <m/>
    <n v="1"/>
    <n v="1"/>
    <n v="0"/>
  </r>
  <r>
    <n v="118"/>
    <s v="topological_ordering"/>
    <s v="condition fault"/>
    <s v="output error"/>
    <s v="all-case impact"/>
    <s v="gpt35-python-with_location"/>
    <n v="1"/>
    <x v="0"/>
    <x v="1"/>
    <m/>
    <m/>
    <n v="1"/>
    <n v="1"/>
    <n v="0"/>
  </r>
  <r>
    <n v="119"/>
    <s v="wrap"/>
    <s v="variable assign missing fault"/>
    <s v="format error"/>
    <s v="all-case impact"/>
    <s v="gpt35-python-with_location"/>
    <n v="0.33333333333333331"/>
    <x v="0"/>
    <x v="1"/>
    <m/>
    <m/>
    <n v="1"/>
    <n v="0"/>
    <n v="1"/>
  </r>
  <r>
    <n v="120"/>
    <s v="bitcount"/>
    <s v="variable assign fault"/>
    <s v="infinite loop error"/>
    <s v="all-case impact"/>
    <s v="claude-python-basic"/>
    <n v="1"/>
    <x v="2"/>
    <x v="2"/>
    <m/>
    <m/>
    <n v="1"/>
    <n v="1"/>
    <n v="0"/>
  </r>
  <r>
    <n v="121"/>
    <s v="breadth_first_search"/>
    <s v="condition fault"/>
    <s v="infinite loop error"/>
    <s v="edge-case impact"/>
    <s v="claude-python-basic"/>
    <n v="1"/>
    <x v="2"/>
    <x v="2"/>
    <m/>
    <m/>
    <n v="1"/>
    <n v="1"/>
    <n v="0"/>
  </r>
  <r>
    <n v="122"/>
    <s v="bucketsort"/>
    <s v="variable misuse fault"/>
    <s v="output error"/>
    <s v="all-case impact"/>
    <s v="claude-python-basic"/>
    <n v="1"/>
    <x v="2"/>
    <x v="2"/>
    <m/>
    <m/>
    <n v="1"/>
    <n v="1"/>
    <n v="0"/>
  </r>
  <r>
    <n v="123"/>
    <s v="depth_first_search"/>
    <s v="variable misuse fault"/>
    <s v="infinite loop error"/>
    <s v="edge-case impact"/>
    <s v="claude-python-basic"/>
    <n v="0.66666666666666663"/>
    <x v="2"/>
    <x v="2"/>
    <m/>
    <m/>
    <n v="1"/>
    <n v="0"/>
    <n v="1"/>
  </r>
  <r>
    <n v="124"/>
    <s v="detect_cycle"/>
    <s v="condition fault"/>
    <s v="runtime error"/>
    <s v="edge-case impact"/>
    <s v="claude-python-basic"/>
    <n v="1"/>
    <x v="2"/>
    <x v="2"/>
    <m/>
    <m/>
    <n v="1"/>
    <n v="1"/>
    <n v="0"/>
  </r>
  <r>
    <n v="125"/>
    <s v="find_first_in_sorted"/>
    <s v="condition fault"/>
    <s v="infinite loop error"/>
    <s v="edge-case impact"/>
    <s v="claude-python-basic"/>
    <n v="0"/>
    <x v="2"/>
    <x v="2"/>
    <m/>
    <m/>
    <n v="0"/>
    <n v="0"/>
    <n v="0"/>
  </r>
  <r>
    <n v="126"/>
    <s v="find_in_sorted"/>
    <s v="indexing fault"/>
    <s v="infinite loop error"/>
    <s v="edge-case impact"/>
    <s v="claude-python-basic"/>
    <n v="1"/>
    <x v="2"/>
    <x v="2"/>
    <m/>
    <m/>
    <n v="1"/>
    <n v="1"/>
    <n v="0"/>
  </r>
  <r>
    <n v="127"/>
    <s v="flatten"/>
    <s v="variable misuse fault"/>
    <s v="format error"/>
    <s v="base-case impact"/>
    <s v="claude-python-basic"/>
    <n v="0.33333333333333331"/>
    <x v="2"/>
    <x v="2"/>
    <m/>
    <m/>
    <n v="1"/>
    <n v="0"/>
    <n v="1"/>
  </r>
  <r>
    <n v="128"/>
    <s v="gcd"/>
    <s v="variable misuse fault"/>
    <s v="infinite loop error"/>
    <s v="base-case impact"/>
    <s v="claude-python-basic"/>
    <n v="0.66666666666666663"/>
    <x v="2"/>
    <x v="2"/>
    <m/>
    <m/>
    <n v="1"/>
    <n v="0"/>
    <n v="1"/>
  </r>
  <r>
    <n v="129"/>
    <s v="get_factors"/>
    <s v="variable assign fault"/>
    <s v="output error"/>
    <s v="base-case impact"/>
    <s v="claude-python-basic"/>
    <n v="0"/>
    <x v="2"/>
    <x v="2"/>
    <m/>
    <m/>
    <n v="0"/>
    <n v="0"/>
    <n v="0"/>
  </r>
  <r>
    <n v="130"/>
    <s v="hanoi"/>
    <s v="variable misuse fault"/>
    <s v="output error"/>
    <s v="all-case impact"/>
    <s v="claude-python-basic"/>
    <n v="0.66666666666666663"/>
    <x v="2"/>
    <x v="2"/>
    <m/>
    <m/>
    <n v="1"/>
    <n v="0"/>
    <n v="1"/>
  </r>
  <r>
    <n v="131"/>
    <s v="is_valid_parenthesization"/>
    <s v="variable assign fault"/>
    <s v="output error"/>
    <s v="edge-case impact"/>
    <s v="claude-python-basic"/>
    <n v="1"/>
    <x v="2"/>
    <x v="2"/>
    <m/>
    <m/>
    <n v="1"/>
    <n v="1"/>
    <n v="0"/>
  </r>
  <r>
    <n v="132"/>
    <s v="kheapsort"/>
    <s v="indexing fault"/>
    <s v="output error"/>
    <s v="base-case impact"/>
    <s v="claude-python-basic"/>
    <n v="1"/>
    <x v="2"/>
    <x v="2"/>
    <m/>
    <m/>
    <n v="1"/>
    <n v="1"/>
    <n v="0"/>
  </r>
  <r>
    <n v="133"/>
    <s v="knapsack"/>
    <s v="condition fault"/>
    <s v="output error"/>
    <s v="edge-case impact"/>
    <s v="claude-python-basic"/>
    <n v="1"/>
    <x v="2"/>
    <x v="2"/>
    <m/>
    <m/>
    <n v="1"/>
    <n v="1"/>
    <n v="0"/>
  </r>
  <r>
    <n v="134"/>
    <s v="kth"/>
    <s v="variable assign fault"/>
    <s v="runtime error"/>
    <s v="base-case impact"/>
    <s v="claude-python-basic"/>
    <n v="1"/>
    <x v="2"/>
    <x v="2"/>
    <m/>
    <m/>
    <n v="1"/>
    <n v="1"/>
    <n v="0"/>
  </r>
  <r>
    <n v="135"/>
    <s v="lcs_length"/>
    <s v="indexing fault"/>
    <s v="output error"/>
    <s v="base-case impact"/>
    <s v="claude-python-basic"/>
    <n v="0"/>
    <x v="2"/>
    <x v="2"/>
    <m/>
    <m/>
    <n v="0"/>
    <n v="0"/>
    <n v="0"/>
  </r>
  <r>
    <n v="136"/>
    <s v="levenshtein"/>
    <s v="variable assign fault"/>
    <s v="output error"/>
    <s v="base-case impact"/>
    <s v="claude-python-basic"/>
    <n v="1"/>
    <x v="2"/>
    <x v="2"/>
    <m/>
    <m/>
    <n v="1"/>
    <n v="1"/>
    <n v="0"/>
  </r>
  <r>
    <n v="137"/>
    <s v="lis"/>
    <s v="variable assign fault"/>
    <s v="output error"/>
    <s v="base-case impact"/>
    <s v="claude-python-basic"/>
    <n v="0"/>
    <x v="2"/>
    <x v="2"/>
    <m/>
    <m/>
    <n v="0"/>
    <n v="0"/>
    <n v="0"/>
  </r>
  <r>
    <n v="138"/>
    <s v="longest_common_subsequence"/>
    <s v="indexing fault"/>
    <s v="output error"/>
    <s v="edge-case impact"/>
    <s v="claude-python-basic"/>
    <n v="0.66666666666666663"/>
    <x v="2"/>
    <x v="2"/>
    <m/>
    <m/>
    <n v="1"/>
    <n v="0"/>
    <n v="1"/>
  </r>
  <r>
    <n v="139"/>
    <s v="max_sublist_sum"/>
    <s v="variable assign fault"/>
    <s v="output error"/>
    <s v="base-case impact"/>
    <s v="claude-python-basic"/>
    <n v="0.33333333333333331"/>
    <x v="2"/>
    <x v="2"/>
    <m/>
    <m/>
    <n v="1"/>
    <n v="0"/>
    <n v="1"/>
  </r>
  <r>
    <n v="140"/>
    <s v="mergesort"/>
    <s v="condition fault"/>
    <s v="infinite loop error"/>
    <s v="all-case impact"/>
    <s v="claude-python-basic"/>
    <n v="1"/>
    <x v="2"/>
    <x v="2"/>
    <m/>
    <m/>
    <n v="1"/>
    <n v="1"/>
    <n v="0"/>
  </r>
  <r>
    <n v="141"/>
    <s v="minimum_spanning_tree"/>
    <s v="variable misuse fault"/>
    <s v="runtime error"/>
    <s v="all-case impact"/>
    <s v="claude-python-basic"/>
    <n v="1"/>
    <x v="2"/>
    <x v="2"/>
    <m/>
    <m/>
    <n v="1"/>
    <n v="1"/>
    <n v="0"/>
  </r>
  <r>
    <n v="142"/>
    <s v="next_palindrome"/>
    <s v="variable assign fault"/>
    <s v="format error"/>
    <s v="edge-case impact"/>
    <s v="claude-python-basic"/>
    <n v="1"/>
    <x v="2"/>
    <x v="2"/>
    <m/>
    <m/>
    <n v="1"/>
    <n v="1"/>
    <n v="0"/>
  </r>
  <r>
    <n v="143"/>
    <s v="next_permutation"/>
    <s v="condition fault"/>
    <s v="output error"/>
    <s v="all-case impact"/>
    <s v="claude-python-basic"/>
    <n v="1"/>
    <x v="2"/>
    <x v="2"/>
    <m/>
    <m/>
    <n v="1"/>
    <n v="1"/>
    <n v="0"/>
  </r>
  <r>
    <n v="144"/>
    <s v="pascal"/>
    <s v="indexing fault"/>
    <s v="runtime error"/>
    <s v="base-case impact"/>
    <s v="claude-python-basic"/>
    <n v="1"/>
    <x v="2"/>
    <x v="2"/>
    <m/>
    <m/>
    <n v="1"/>
    <n v="1"/>
    <n v="0"/>
  </r>
  <r>
    <n v="145"/>
    <s v="possible_change"/>
    <s v="condition fault"/>
    <s v="runtime error"/>
    <s v="edge-case impact"/>
    <s v="claude-python-basic"/>
    <n v="1"/>
    <x v="2"/>
    <x v="2"/>
    <m/>
    <m/>
    <n v="1"/>
    <n v="1"/>
    <n v="0"/>
  </r>
  <r>
    <n v="146"/>
    <s v="powerset"/>
    <s v="variable assign fault"/>
    <s v="output error"/>
    <s v="base-case impact"/>
    <s v="claude-python-basic"/>
    <n v="0.66666666666666663"/>
    <x v="2"/>
    <x v="2"/>
    <m/>
    <m/>
    <n v="1"/>
    <n v="0"/>
    <n v="1"/>
  </r>
  <r>
    <n v="147"/>
    <s v="quicksort"/>
    <s v="condition fault"/>
    <s v="output error"/>
    <s v="edge-case impact"/>
    <s v="claude-python-basic"/>
    <n v="0.66666666666666663"/>
    <x v="2"/>
    <x v="2"/>
    <m/>
    <m/>
    <n v="1"/>
    <n v="0"/>
    <n v="1"/>
  </r>
  <r>
    <n v="148"/>
    <s v="reverse_linked_list"/>
    <s v="variable assign missing fault"/>
    <s v="output error"/>
    <s v="all-case impact"/>
    <s v="claude-python-basic"/>
    <n v="1"/>
    <x v="2"/>
    <x v="2"/>
    <m/>
    <m/>
    <n v="1"/>
    <n v="1"/>
    <n v="0"/>
  </r>
  <r>
    <n v="149"/>
    <s v="rpn_eval"/>
    <s v="variable assign fault"/>
    <s v="output error"/>
    <s v="edge-case impact"/>
    <s v="claude-python-basic"/>
    <n v="0.33333333333333331"/>
    <x v="2"/>
    <x v="2"/>
    <m/>
    <m/>
    <n v="1"/>
    <n v="0"/>
    <n v="1"/>
  </r>
  <r>
    <n v="150"/>
    <s v="shortest_path_length"/>
    <s v="variable assign fault"/>
    <s v="output error"/>
    <s v="base-case impact"/>
    <s v="claude-python-basic"/>
    <n v="0.66666666666666663"/>
    <x v="2"/>
    <x v="2"/>
    <m/>
    <m/>
    <n v="1"/>
    <n v="0"/>
    <n v="1"/>
  </r>
  <r>
    <n v="151"/>
    <s v="shortest_path_lengths"/>
    <s v="indexing fault"/>
    <s v="output error"/>
    <s v="all-case impact"/>
    <s v="claude-python-basic"/>
    <n v="0"/>
    <x v="2"/>
    <x v="2"/>
    <m/>
    <m/>
    <n v="0"/>
    <n v="0"/>
    <n v="0"/>
  </r>
  <r>
    <n v="152"/>
    <s v="shortest_paths"/>
    <s v="variable misuse fault"/>
    <s v="output error"/>
    <s v="all-case impact"/>
    <s v="claude-python-basic"/>
    <n v="0.33333333333333331"/>
    <x v="2"/>
    <x v="2"/>
    <m/>
    <m/>
    <n v="1"/>
    <n v="0"/>
    <n v="1"/>
  </r>
  <r>
    <n v="153"/>
    <s v="shunting_yard"/>
    <s v="variable assign missing fault"/>
    <s v="output error"/>
    <s v="base-case impact"/>
    <s v="claude-python-basic"/>
    <n v="1"/>
    <x v="2"/>
    <x v="2"/>
    <m/>
    <m/>
    <n v="1"/>
    <n v="1"/>
    <n v="0"/>
  </r>
  <r>
    <n v="154"/>
    <s v="sieve"/>
    <s v="condition fault"/>
    <s v="output error"/>
    <s v="base-case impact"/>
    <s v="claude-python-basic"/>
    <n v="1"/>
    <x v="2"/>
    <x v="2"/>
    <m/>
    <m/>
    <n v="1"/>
    <n v="1"/>
    <n v="0"/>
  </r>
  <r>
    <n v="155"/>
    <s v="sqrt"/>
    <s v="condition fault"/>
    <s v="infinite loop error"/>
    <s v="base-case impact"/>
    <s v="claude-python-basic"/>
    <n v="1"/>
    <x v="2"/>
    <x v="2"/>
    <m/>
    <m/>
    <n v="1"/>
    <n v="1"/>
    <n v="0"/>
  </r>
  <r>
    <n v="156"/>
    <s v="subsequences"/>
    <s v="variable assign fault"/>
    <s v="output error"/>
    <s v="edge-case impact"/>
    <s v="claude-python-basic"/>
    <n v="0"/>
    <x v="2"/>
    <x v="2"/>
    <m/>
    <m/>
    <n v="0"/>
    <n v="0"/>
    <n v="0"/>
  </r>
  <r>
    <n v="157"/>
    <s v="to_base"/>
    <s v="variable assign fault"/>
    <s v="output error"/>
    <s v="base-case impact"/>
    <s v="claude-python-basic"/>
    <n v="1"/>
    <x v="2"/>
    <x v="2"/>
    <m/>
    <m/>
    <n v="1"/>
    <n v="1"/>
    <n v="0"/>
  </r>
  <r>
    <n v="158"/>
    <s v="topological_ordering"/>
    <s v="condition fault"/>
    <s v="output error"/>
    <s v="all-case impact"/>
    <s v="claude-python-basic"/>
    <n v="1"/>
    <x v="2"/>
    <x v="2"/>
    <m/>
    <m/>
    <n v="1"/>
    <n v="1"/>
    <n v="0"/>
  </r>
  <r>
    <n v="159"/>
    <s v="wrap"/>
    <s v="variable assign missing fault"/>
    <s v="format error"/>
    <s v="all-case impact"/>
    <s v="claude-python-basic"/>
    <n v="0"/>
    <x v="2"/>
    <x v="2"/>
    <m/>
    <m/>
    <n v="0"/>
    <n v="0"/>
    <n v="0"/>
  </r>
  <r>
    <n v="160"/>
    <s v="bitcount"/>
    <s v="variable assign fault"/>
    <s v="infinite loop error"/>
    <s v="all-case impact"/>
    <s v="gpt4-python-with_location"/>
    <n v="1"/>
    <x v="0"/>
    <x v="3"/>
    <m/>
    <m/>
    <n v="1"/>
    <n v="1"/>
    <n v="0"/>
  </r>
  <r>
    <n v="161"/>
    <s v="breadth_first_search"/>
    <s v="condition fault"/>
    <s v="infinite loop error"/>
    <s v="edge-case impact"/>
    <s v="gpt4-python-with_location"/>
    <n v="1"/>
    <x v="0"/>
    <x v="3"/>
    <m/>
    <m/>
    <n v="1"/>
    <n v="1"/>
    <n v="0"/>
  </r>
  <r>
    <n v="162"/>
    <s v="bucketsort"/>
    <s v="variable misuse fault"/>
    <s v="output error"/>
    <s v="all-case impact"/>
    <s v="gpt4-python-with_location"/>
    <n v="1"/>
    <x v="0"/>
    <x v="3"/>
    <m/>
    <m/>
    <n v="1"/>
    <n v="1"/>
    <n v="0"/>
  </r>
  <r>
    <n v="163"/>
    <s v="depth_first_search"/>
    <s v="variable misuse fault"/>
    <s v="infinite loop error"/>
    <s v="edge-case impact"/>
    <s v="gpt4-python-with_location"/>
    <n v="1"/>
    <x v="0"/>
    <x v="3"/>
    <m/>
    <m/>
    <n v="1"/>
    <n v="1"/>
    <n v="0"/>
  </r>
  <r>
    <n v="164"/>
    <s v="detect_cycle"/>
    <s v="condition fault"/>
    <s v="runtime error"/>
    <s v="edge-case impact"/>
    <s v="gpt4-python-with_location"/>
    <n v="1"/>
    <x v="0"/>
    <x v="3"/>
    <m/>
    <m/>
    <n v="1"/>
    <n v="1"/>
    <n v="0"/>
  </r>
  <r>
    <n v="165"/>
    <s v="find_first_in_sorted"/>
    <s v="condition fault"/>
    <s v="infinite loop error"/>
    <s v="edge-case impact"/>
    <s v="gpt4-python-with_location"/>
    <n v="1"/>
    <x v="0"/>
    <x v="3"/>
    <m/>
    <m/>
    <n v="1"/>
    <n v="1"/>
    <n v="0"/>
  </r>
  <r>
    <n v="166"/>
    <s v="find_in_sorted"/>
    <s v="indexing fault"/>
    <s v="infinite loop error"/>
    <s v="edge-case impact"/>
    <s v="gpt4-python-with_location"/>
    <n v="1"/>
    <x v="0"/>
    <x v="3"/>
    <m/>
    <m/>
    <n v="1"/>
    <n v="1"/>
    <n v="0"/>
  </r>
  <r>
    <n v="167"/>
    <s v="flatten"/>
    <s v="variable misuse fault"/>
    <s v="format error"/>
    <s v="base-case impact"/>
    <s v="gpt4-python-with_location"/>
    <n v="1"/>
    <x v="0"/>
    <x v="3"/>
    <m/>
    <m/>
    <n v="1"/>
    <n v="1"/>
    <n v="0"/>
  </r>
  <r>
    <n v="168"/>
    <s v="gcd"/>
    <s v="variable misuse fault"/>
    <s v="infinite loop error"/>
    <s v="base-case impact"/>
    <s v="gpt4-python-with_location"/>
    <n v="1"/>
    <x v="0"/>
    <x v="3"/>
    <m/>
    <m/>
    <n v="1"/>
    <n v="1"/>
    <n v="0"/>
  </r>
  <r>
    <n v="169"/>
    <s v="get_factors"/>
    <s v="variable assign fault"/>
    <s v="output error"/>
    <s v="base-case impact"/>
    <s v="gpt4-python-with_location"/>
    <n v="1"/>
    <x v="0"/>
    <x v="3"/>
    <m/>
    <m/>
    <n v="1"/>
    <n v="1"/>
    <n v="0"/>
  </r>
  <r>
    <n v="170"/>
    <s v="hanoi"/>
    <s v="variable misuse fault"/>
    <s v="output error"/>
    <s v="all-case impact"/>
    <s v="gpt4-python-with_location"/>
    <n v="1"/>
    <x v="0"/>
    <x v="3"/>
    <m/>
    <m/>
    <n v="1"/>
    <n v="1"/>
    <n v="0"/>
  </r>
  <r>
    <n v="171"/>
    <s v="is_valid_parenthesization"/>
    <s v="variable assign fault"/>
    <s v="output error"/>
    <s v="edge-case impact"/>
    <s v="gpt4-python-with_location"/>
    <n v="1"/>
    <x v="0"/>
    <x v="3"/>
    <m/>
    <m/>
    <n v="1"/>
    <n v="1"/>
    <n v="0"/>
  </r>
  <r>
    <n v="172"/>
    <s v="kheapsort"/>
    <s v="indexing fault"/>
    <s v="output error"/>
    <s v="base-case impact"/>
    <s v="gpt4-python-with_location"/>
    <n v="0.66666666666666663"/>
    <x v="0"/>
    <x v="3"/>
    <m/>
    <m/>
    <n v="1"/>
    <n v="0"/>
    <n v="1"/>
  </r>
  <r>
    <n v="173"/>
    <s v="knapsack"/>
    <s v="condition fault"/>
    <s v="output error"/>
    <s v="edge-case impact"/>
    <s v="gpt4-python-with_location"/>
    <n v="1"/>
    <x v="0"/>
    <x v="3"/>
    <m/>
    <m/>
    <n v="1"/>
    <n v="1"/>
    <n v="0"/>
  </r>
  <r>
    <n v="174"/>
    <s v="kth"/>
    <s v="variable assign fault"/>
    <s v="runtime error"/>
    <s v="base-case impact"/>
    <s v="gpt4-python-with_location"/>
    <n v="1"/>
    <x v="0"/>
    <x v="3"/>
    <m/>
    <m/>
    <n v="1"/>
    <n v="1"/>
    <n v="0"/>
  </r>
  <r>
    <n v="175"/>
    <s v="lcs_length"/>
    <s v="indexing fault"/>
    <s v="output error"/>
    <s v="base-case impact"/>
    <s v="gpt4-python-with_location"/>
    <n v="0"/>
    <x v="0"/>
    <x v="3"/>
    <m/>
    <m/>
    <n v="0"/>
    <n v="0"/>
    <n v="0"/>
  </r>
  <r>
    <n v="176"/>
    <s v="levenshtein"/>
    <s v="variable assign fault"/>
    <s v="output error"/>
    <s v="base-case impact"/>
    <s v="gpt4-python-with_location"/>
    <n v="1"/>
    <x v="0"/>
    <x v="3"/>
    <m/>
    <m/>
    <n v="1"/>
    <n v="1"/>
    <n v="0"/>
  </r>
  <r>
    <n v="177"/>
    <s v="lis"/>
    <s v="variable assign fault"/>
    <s v="output error"/>
    <s v="base-case impact"/>
    <s v="gpt4-python-with_location"/>
    <n v="1"/>
    <x v="0"/>
    <x v="3"/>
    <m/>
    <m/>
    <n v="1"/>
    <n v="1"/>
    <n v="0"/>
  </r>
  <r>
    <n v="178"/>
    <s v="longest_common_subsequence"/>
    <s v="indexing fault"/>
    <s v="output error"/>
    <s v="edge-case impact"/>
    <s v="gpt4-python-with_location"/>
    <n v="1"/>
    <x v="0"/>
    <x v="3"/>
    <m/>
    <m/>
    <n v="1"/>
    <n v="1"/>
    <n v="0"/>
  </r>
  <r>
    <n v="179"/>
    <s v="max_sublist_sum"/>
    <s v="variable assign fault"/>
    <s v="output error"/>
    <s v="base-case impact"/>
    <s v="gpt4-python-with_location"/>
    <n v="1"/>
    <x v="0"/>
    <x v="3"/>
    <m/>
    <m/>
    <n v="1"/>
    <n v="1"/>
    <n v="0"/>
  </r>
  <r>
    <n v="180"/>
    <s v="mergesort"/>
    <s v="condition fault"/>
    <s v="infinite loop error"/>
    <s v="all-case impact"/>
    <s v="gpt4-python-with_location"/>
    <n v="1"/>
    <x v="0"/>
    <x v="3"/>
    <m/>
    <m/>
    <n v="1"/>
    <n v="1"/>
    <n v="0"/>
  </r>
  <r>
    <n v="181"/>
    <s v="minimum_spanning_tree"/>
    <s v="variable misuse fault"/>
    <s v="runtime error"/>
    <s v="all-case impact"/>
    <s v="gpt4-python-with_location"/>
    <n v="0.66666666666666663"/>
    <x v="0"/>
    <x v="3"/>
    <m/>
    <m/>
    <n v="1"/>
    <n v="0"/>
    <n v="1"/>
  </r>
  <r>
    <n v="182"/>
    <s v="next_palindrome"/>
    <s v="variable assign fault"/>
    <s v="format error"/>
    <s v="edge-case impact"/>
    <s v="gpt4-python-with_location"/>
    <n v="0.33333333333333331"/>
    <x v="0"/>
    <x v="3"/>
    <m/>
    <m/>
    <n v="1"/>
    <n v="0"/>
    <n v="1"/>
  </r>
  <r>
    <n v="183"/>
    <s v="next_permutation"/>
    <s v="condition fault"/>
    <s v="output error"/>
    <s v="all-case impact"/>
    <s v="gpt4-python-with_location"/>
    <n v="1"/>
    <x v="0"/>
    <x v="3"/>
    <m/>
    <m/>
    <n v="1"/>
    <n v="1"/>
    <n v="0"/>
  </r>
  <r>
    <n v="184"/>
    <s v="pascal"/>
    <s v="indexing fault"/>
    <s v="runtime error"/>
    <s v="base-case impact"/>
    <s v="gpt4-python-with_location"/>
    <n v="1"/>
    <x v="0"/>
    <x v="3"/>
    <m/>
    <m/>
    <n v="1"/>
    <n v="1"/>
    <n v="0"/>
  </r>
  <r>
    <n v="185"/>
    <s v="possible_change"/>
    <s v="condition fault"/>
    <s v="runtime error"/>
    <s v="edge-case impact"/>
    <s v="gpt4-python-with_location"/>
    <n v="1"/>
    <x v="0"/>
    <x v="3"/>
    <m/>
    <m/>
    <n v="1"/>
    <n v="1"/>
    <n v="0"/>
  </r>
  <r>
    <n v="186"/>
    <s v="powerset"/>
    <s v="variable assign fault"/>
    <s v="output error"/>
    <s v="base-case impact"/>
    <s v="gpt4-python-with_location"/>
    <n v="1"/>
    <x v="0"/>
    <x v="3"/>
    <m/>
    <m/>
    <n v="1"/>
    <n v="1"/>
    <n v="0"/>
  </r>
  <r>
    <n v="187"/>
    <s v="quicksort"/>
    <s v="condition fault"/>
    <s v="output error"/>
    <s v="edge-case impact"/>
    <s v="gpt4-python-with_location"/>
    <n v="1"/>
    <x v="0"/>
    <x v="3"/>
    <m/>
    <m/>
    <n v="1"/>
    <n v="1"/>
    <n v="0"/>
  </r>
  <r>
    <n v="188"/>
    <s v="reverse_linked_list"/>
    <s v="variable assign missing fault"/>
    <s v="output error"/>
    <s v="all-case impact"/>
    <s v="gpt4-python-with_location"/>
    <n v="1"/>
    <x v="0"/>
    <x v="3"/>
    <m/>
    <m/>
    <n v="1"/>
    <n v="1"/>
    <n v="0"/>
  </r>
  <r>
    <n v="189"/>
    <s v="rpn_eval"/>
    <s v="variable assign fault"/>
    <s v="output error"/>
    <s v="edge-case impact"/>
    <s v="gpt4-python-with_location"/>
    <n v="1"/>
    <x v="0"/>
    <x v="3"/>
    <m/>
    <m/>
    <n v="1"/>
    <n v="1"/>
    <n v="0"/>
  </r>
  <r>
    <n v="190"/>
    <s v="shortest_path_length"/>
    <s v="variable assign fault"/>
    <s v="output error"/>
    <s v="base-case impact"/>
    <s v="gpt4-python-with_location"/>
    <n v="0.66666666666666663"/>
    <x v="0"/>
    <x v="3"/>
    <m/>
    <m/>
    <n v="1"/>
    <n v="0"/>
    <n v="1"/>
  </r>
  <r>
    <n v="191"/>
    <s v="shortest_path_lengths"/>
    <s v="indexing fault"/>
    <s v="output error"/>
    <s v="all-case impact"/>
    <s v="gpt4-python-with_location"/>
    <n v="1"/>
    <x v="0"/>
    <x v="3"/>
    <m/>
    <m/>
    <n v="1"/>
    <n v="1"/>
    <n v="0"/>
  </r>
  <r>
    <n v="192"/>
    <s v="shortest_paths"/>
    <s v="variable misuse fault"/>
    <s v="output error"/>
    <s v="all-case impact"/>
    <s v="gpt4-python-with_location"/>
    <n v="1"/>
    <x v="0"/>
    <x v="3"/>
    <m/>
    <m/>
    <n v="1"/>
    <n v="1"/>
    <n v="0"/>
  </r>
  <r>
    <n v="193"/>
    <s v="shunting_yard"/>
    <s v="variable assign missing fault"/>
    <s v="output error"/>
    <s v="base-case impact"/>
    <s v="gpt4-python-with_location"/>
    <n v="1"/>
    <x v="0"/>
    <x v="3"/>
    <m/>
    <m/>
    <n v="1"/>
    <n v="1"/>
    <n v="0"/>
  </r>
  <r>
    <n v="194"/>
    <s v="sieve"/>
    <s v="condition fault"/>
    <s v="output error"/>
    <s v="base-case impact"/>
    <s v="gpt4-python-with_location"/>
    <n v="1"/>
    <x v="0"/>
    <x v="3"/>
    <m/>
    <m/>
    <n v="1"/>
    <n v="1"/>
    <n v="0"/>
  </r>
  <r>
    <n v="195"/>
    <s v="sqrt"/>
    <s v="condition fault"/>
    <s v="infinite loop error"/>
    <s v="base-case impact"/>
    <s v="gpt4-python-with_location"/>
    <n v="1"/>
    <x v="0"/>
    <x v="3"/>
    <m/>
    <m/>
    <n v="1"/>
    <n v="1"/>
    <n v="0"/>
  </r>
  <r>
    <n v="196"/>
    <s v="subsequences"/>
    <s v="variable assign fault"/>
    <s v="output error"/>
    <s v="edge-case impact"/>
    <s v="gpt4-python-with_location"/>
    <n v="0.33333333333333331"/>
    <x v="0"/>
    <x v="3"/>
    <m/>
    <m/>
    <n v="1"/>
    <n v="0"/>
    <n v="1"/>
  </r>
  <r>
    <n v="197"/>
    <s v="to_base"/>
    <s v="variable assign fault"/>
    <s v="output error"/>
    <s v="base-case impact"/>
    <s v="gpt4-python-with_location"/>
    <n v="1"/>
    <x v="0"/>
    <x v="3"/>
    <m/>
    <m/>
    <n v="1"/>
    <n v="1"/>
    <n v="0"/>
  </r>
  <r>
    <n v="198"/>
    <s v="topological_ordering"/>
    <s v="condition fault"/>
    <s v="output error"/>
    <s v="all-case impact"/>
    <s v="gpt4-python-with_location"/>
    <n v="1"/>
    <x v="0"/>
    <x v="3"/>
    <m/>
    <m/>
    <n v="1"/>
    <n v="1"/>
    <n v="0"/>
  </r>
  <r>
    <n v="199"/>
    <s v="wrap"/>
    <s v="variable assign missing fault"/>
    <s v="format error"/>
    <s v="all-case impact"/>
    <s v="gpt4-python-with_location"/>
    <n v="0"/>
    <x v="0"/>
    <x v="3"/>
    <m/>
    <m/>
    <n v="0"/>
    <n v="0"/>
    <n v="0"/>
  </r>
  <r>
    <n v="200"/>
    <s v="bitcount"/>
    <s v="variable assign fault"/>
    <s v="infinite loop error"/>
    <s v="all-case impact"/>
    <s v="gemini-python-with_lib"/>
    <n v="1"/>
    <x v="1"/>
    <x v="0"/>
    <m/>
    <m/>
    <n v="1"/>
    <n v="1"/>
    <n v="0"/>
  </r>
  <r>
    <n v="201"/>
    <s v="breadth_first_search"/>
    <s v="condition fault"/>
    <s v="infinite loop error"/>
    <s v="edge-case impact"/>
    <s v="gemini-python-with_lib"/>
    <n v="1"/>
    <x v="1"/>
    <x v="0"/>
    <m/>
    <m/>
    <n v="1"/>
    <n v="1"/>
    <n v="0"/>
  </r>
  <r>
    <n v="202"/>
    <s v="bucketsort"/>
    <s v="variable misuse fault"/>
    <s v="output error"/>
    <s v="all-case impact"/>
    <s v="gemini-python-with_lib"/>
    <n v="1"/>
    <x v="1"/>
    <x v="0"/>
    <m/>
    <m/>
    <n v="1"/>
    <n v="1"/>
    <n v="0"/>
  </r>
  <r>
    <n v="203"/>
    <s v="depth_first_search"/>
    <s v="variable misuse fault"/>
    <s v="infinite loop error"/>
    <s v="edge-case impact"/>
    <s v="gemini-python-with_lib"/>
    <n v="1"/>
    <x v="1"/>
    <x v="0"/>
    <m/>
    <m/>
    <n v="1"/>
    <n v="1"/>
    <n v="0"/>
  </r>
  <r>
    <n v="204"/>
    <s v="detect_cycle"/>
    <s v="condition fault"/>
    <s v="runtime error"/>
    <s v="edge-case impact"/>
    <s v="gemini-python-with_lib"/>
    <n v="0.66666666666666663"/>
    <x v="1"/>
    <x v="0"/>
    <m/>
    <m/>
    <n v="1"/>
    <n v="0"/>
    <n v="1"/>
  </r>
  <r>
    <n v="205"/>
    <s v="find_first_in_sorted"/>
    <s v="condition fault"/>
    <s v="infinite loop error"/>
    <s v="edge-case impact"/>
    <s v="gemini-python-with_lib"/>
    <n v="1"/>
    <x v="1"/>
    <x v="0"/>
    <m/>
    <m/>
    <n v="1"/>
    <n v="1"/>
    <n v="0"/>
  </r>
  <r>
    <n v="206"/>
    <s v="find_in_sorted"/>
    <s v="indexing fault"/>
    <s v="infinite loop error"/>
    <s v="edge-case impact"/>
    <s v="gemini-python-with_lib"/>
    <n v="0.66666666666666663"/>
    <x v="1"/>
    <x v="0"/>
    <m/>
    <m/>
    <n v="1"/>
    <n v="0"/>
    <n v="1"/>
  </r>
  <r>
    <n v="207"/>
    <s v="flatten"/>
    <s v="variable misuse fault"/>
    <s v="format error"/>
    <s v="base-case impact"/>
    <s v="gemini-python-with_lib"/>
    <n v="1"/>
    <x v="1"/>
    <x v="0"/>
    <m/>
    <m/>
    <n v="1"/>
    <n v="1"/>
    <n v="0"/>
  </r>
  <r>
    <n v="208"/>
    <s v="gcd"/>
    <s v="variable misuse fault"/>
    <s v="infinite loop error"/>
    <s v="base-case impact"/>
    <s v="gemini-python-with_lib"/>
    <n v="1"/>
    <x v="1"/>
    <x v="0"/>
    <m/>
    <m/>
    <n v="1"/>
    <n v="1"/>
    <n v="0"/>
  </r>
  <r>
    <n v="209"/>
    <s v="get_factors"/>
    <s v="variable assign fault"/>
    <s v="output error"/>
    <s v="base-case impact"/>
    <s v="gemini-python-with_lib"/>
    <n v="0"/>
    <x v="1"/>
    <x v="0"/>
    <m/>
    <m/>
    <n v="0"/>
    <n v="0"/>
    <n v="0"/>
  </r>
  <r>
    <n v="210"/>
    <s v="hanoi"/>
    <s v="variable misuse fault"/>
    <s v="output error"/>
    <s v="all-case impact"/>
    <s v="gemini-python-with_lib"/>
    <n v="0.66666666666666663"/>
    <x v="1"/>
    <x v="0"/>
    <m/>
    <m/>
    <n v="1"/>
    <n v="0"/>
    <n v="1"/>
  </r>
  <r>
    <n v="211"/>
    <s v="is_valid_parenthesization"/>
    <s v="variable assign fault"/>
    <s v="output error"/>
    <s v="edge-case impact"/>
    <s v="gemini-python-with_lib"/>
    <n v="1"/>
    <x v="1"/>
    <x v="0"/>
    <m/>
    <m/>
    <n v="1"/>
    <n v="1"/>
    <n v="0"/>
  </r>
  <r>
    <n v="212"/>
    <s v="kheapsort"/>
    <s v="indexing fault"/>
    <s v="output error"/>
    <s v="base-case impact"/>
    <s v="gemini-python-with_lib"/>
    <n v="0.66666666666666663"/>
    <x v="1"/>
    <x v="0"/>
    <m/>
    <m/>
    <n v="1"/>
    <n v="0"/>
    <n v="1"/>
  </r>
  <r>
    <n v="213"/>
    <s v="knapsack"/>
    <s v="condition fault"/>
    <s v="output error"/>
    <s v="edge-case impact"/>
    <s v="gemini-python-with_lib"/>
    <n v="0.33333333333333331"/>
    <x v="1"/>
    <x v="0"/>
    <m/>
    <m/>
    <n v="1"/>
    <n v="0"/>
    <n v="1"/>
  </r>
  <r>
    <n v="214"/>
    <s v="kth"/>
    <s v="variable assign fault"/>
    <s v="runtime error"/>
    <s v="base-case impact"/>
    <s v="gemini-python-with_lib"/>
    <n v="0"/>
    <x v="1"/>
    <x v="0"/>
    <m/>
    <m/>
    <n v="0"/>
    <n v="0"/>
    <n v="0"/>
  </r>
  <r>
    <n v="215"/>
    <s v="lcs_length"/>
    <s v="indexing fault"/>
    <s v="output error"/>
    <s v="base-case impact"/>
    <s v="gemini-python-with_lib"/>
    <n v="1"/>
    <x v="1"/>
    <x v="0"/>
    <m/>
    <m/>
    <n v="1"/>
    <n v="1"/>
    <n v="0"/>
  </r>
  <r>
    <n v="216"/>
    <s v="levenshtein"/>
    <s v="variable assign fault"/>
    <s v="output error"/>
    <s v="base-case impact"/>
    <s v="gemini-python-with_lib"/>
    <n v="0.66666666666666663"/>
    <x v="1"/>
    <x v="0"/>
    <m/>
    <m/>
    <n v="1"/>
    <n v="0"/>
    <n v="1"/>
  </r>
  <r>
    <n v="217"/>
    <s v="lis"/>
    <s v="variable assign fault"/>
    <s v="output error"/>
    <s v="base-case impact"/>
    <s v="gemini-python-with_lib"/>
    <n v="0.33333333333333331"/>
    <x v="1"/>
    <x v="0"/>
    <m/>
    <m/>
    <n v="1"/>
    <n v="0"/>
    <n v="1"/>
  </r>
  <r>
    <n v="218"/>
    <s v="longest_common_subsequence"/>
    <s v="indexing fault"/>
    <s v="output error"/>
    <s v="edge-case impact"/>
    <s v="gemini-python-with_lib"/>
    <n v="1"/>
    <x v="1"/>
    <x v="0"/>
    <m/>
    <m/>
    <n v="1"/>
    <n v="1"/>
    <n v="0"/>
  </r>
  <r>
    <n v="219"/>
    <s v="max_sublist_sum"/>
    <s v="variable assign fault"/>
    <s v="output error"/>
    <s v="base-case impact"/>
    <s v="gemini-python-with_lib"/>
    <n v="0"/>
    <x v="1"/>
    <x v="0"/>
    <m/>
    <m/>
    <n v="0"/>
    <n v="0"/>
    <n v="0"/>
  </r>
  <r>
    <n v="220"/>
    <s v="mergesort"/>
    <s v="condition fault"/>
    <s v="infinite loop error"/>
    <s v="all-case impact"/>
    <s v="gemini-python-with_lib"/>
    <n v="1"/>
    <x v="1"/>
    <x v="0"/>
    <m/>
    <m/>
    <n v="1"/>
    <n v="1"/>
    <n v="0"/>
  </r>
  <r>
    <n v="221"/>
    <s v="minimum_spanning_tree"/>
    <s v="variable misuse fault"/>
    <s v="runtime error"/>
    <s v="all-case impact"/>
    <s v="gemini-python-with_lib"/>
    <n v="1"/>
    <x v="1"/>
    <x v="0"/>
    <m/>
    <m/>
    <n v="1"/>
    <n v="1"/>
    <n v="0"/>
  </r>
  <r>
    <n v="222"/>
    <s v="next_palindrome"/>
    <s v="variable assign fault"/>
    <s v="format error"/>
    <s v="edge-case impact"/>
    <s v="gemini-python-with_lib"/>
    <n v="0"/>
    <x v="1"/>
    <x v="0"/>
    <m/>
    <m/>
    <n v="0"/>
    <n v="0"/>
    <n v="0"/>
  </r>
  <r>
    <n v="223"/>
    <s v="next_permutation"/>
    <s v="condition fault"/>
    <s v="output error"/>
    <s v="all-case impact"/>
    <s v="gemini-python-with_lib"/>
    <n v="1"/>
    <x v="1"/>
    <x v="0"/>
    <m/>
    <m/>
    <n v="1"/>
    <n v="1"/>
    <n v="0"/>
  </r>
  <r>
    <n v="224"/>
    <s v="pascal"/>
    <s v="indexing fault"/>
    <s v="runtime error"/>
    <s v="base-case impact"/>
    <s v="gemini-python-with_lib"/>
    <n v="1"/>
    <x v="1"/>
    <x v="0"/>
    <m/>
    <m/>
    <n v="1"/>
    <n v="1"/>
    <n v="0"/>
  </r>
  <r>
    <n v="225"/>
    <s v="possible_change"/>
    <s v="condition fault"/>
    <s v="runtime error"/>
    <s v="edge-case impact"/>
    <s v="gemini-python-with_lib"/>
    <n v="1"/>
    <x v="1"/>
    <x v="0"/>
    <m/>
    <m/>
    <n v="1"/>
    <n v="1"/>
    <n v="0"/>
  </r>
  <r>
    <n v="226"/>
    <s v="powerset"/>
    <s v="variable assign fault"/>
    <s v="output error"/>
    <s v="base-case impact"/>
    <s v="gemini-python-with_lib"/>
    <n v="1"/>
    <x v="1"/>
    <x v="0"/>
    <m/>
    <m/>
    <n v="1"/>
    <n v="1"/>
    <n v="0"/>
  </r>
  <r>
    <n v="227"/>
    <s v="quicksort"/>
    <s v="condition fault"/>
    <s v="output error"/>
    <s v="edge-case impact"/>
    <s v="gemini-python-with_lib"/>
    <n v="0.66666666666666663"/>
    <x v="1"/>
    <x v="0"/>
    <m/>
    <m/>
    <n v="1"/>
    <n v="0"/>
    <n v="1"/>
  </r>
  <r>
    <n v="228"/>
    <s v="reverse_linked_list"/>
    <s v="variable assign missing fault"/>
    <s v="output error"/>
    <s v="all-case impact"/>
    <s v="gemini-python-with_lib"/>
    <n v="1"/>
    <x v="1"/>
    <x v="0"/>
    <m/>
    <m/>
    <n v="1"/>
    <n v="1"/>
    <n v="0"/>
  </r>
  <r>
    <n v="229"/>
    <s v="rpn_eval"/>
    <s v="variable assign fault"/>
    <s v="output error"/>
    <s v="edge-case impact"/>
    <s v="gemini-python-with_lib"/>
    <n v="0"/>
    <x v="1"/>
    <x v="0"/>
    <m/>
    <m/>
    <n v="0"/>
    <n v="0"/>
    <n v="0"/>
  </r>
  <r>
    <n v="230"/>
    <s v="shortest_path_length"/>
    <s v="variable assign fault"/>
    <s v="output error"/>
    <s v="base-case impact"/>
    <s v="gemini-python-with_lib"/>
    <n v="0.66666666666666663"/>
    <x v="1"/>
    <x v="0"/>
    <m/>
    <m/>
    <n v="1"/>
    <n v="0"/>
    <n v="1"/>
  </r>
  <r>
    <n v="231"/>
    <s v="shortest_path_lengths"/>
    <s v="indexing fault"/>
    <s v="output error"/>
    <s v="all-case impact"/>
    <s v="gemini-python-with_lib"/>
    <n v="0.33333333333333331"/>
    <x v="1"/>
    <x v="0"/>
    <m/>
    <m/>
    <n v="1"/>
    <n v="0"/>
    <n v="1"/>
  </r>
  <r>
    <n v="232"/>
    <s v="shortest_paths"/>
    <s v="variable misuse fault"/>
    <s v="output error"/>
    <s v="all-case impact"/>
    <s v="gemini-python-with_lib"/>
    <n v="0.66666666666666663"/>
    <x v="1"/>
    <x v="0"/>
    <m/>
    <m/>
    <n v="1"/>
    <n v="0"/>
    <n v="1"/>
  </r>
  <r>
    <n v="233"/>
    <s v="shunting_yard"/>
    <s v="variable assign missing fault"/>
    <s v="output error"/>
    <s v="base-case impact"/>
    <s v="gemini-python-with_lib"/>
    <n v="1"/>
    <x v="1"/>
    <x v="0"/>
    <m/>
    <m/>
    <n v="1"/>
    <n v="1"/>
    <n v="0"/>
  </r>
  <r>
    <n v="234"/>
    <s v="sieve"/>
    <s v="condition fault"/>
    <s v="output error"/>
    <s v="base-case impact"/>
    <s v="gemini-python-with_lib"/>
    <n v="1"/>
    <x v="1"/>
    <x v="0"/>
    <m/>
    <m/>
    <n v="1"/>
    <n v="1"/>
    <n v="0"/>
  </r>
  <r>
    <n v="235"/>
    <s v="sqrt"/>
    <s v="condition fault"/>
    <s v="infinite loop error"/>
    <s v="base-case impact"/>
    <s v="gemini-python-with_lib"/>
    <n v="1"/>
    <x v="1"/>
    <x v="0"/>
    <m/>
    <m/>
    <n v="1"/>
    <n v="1"/>
    <n v="0"/>
  </r>
  <r>
    <n v="236"/>
    <s v="subsequences"/>
    <s v="variable assign fault"/>
    <s v="output error"/>
    <s v="edge-case impact"/>
    <s v="gemini-python-with_lib"/>
    <n v="1"/>
    <x v="1"/>
    <x v="0"/>
    <m/>
    <m/>
    <n v="1"/>
    <n v="1"/>
    <n v="0"/>
  </r>
  <r>
    <n v="237"/>
    <s v="to_base"/>
    <s v="variable assign fault"/>
    <s v="output error"/>
    <s v="base-case impact"/>
    <s v="gemini-python-with_lib"/>
    <n v="1"/>
    <x v="1"/>
    <x v="0"/>
    <m/>
    <m/>
    <n v="1"/>
    <n v="1"/>
    <n v="0"/>
  </r>
  <r>
    <n v="238"/>
    <s v="topological_ordering"/>
    <s v="condition fault"/>
    <s v="output error"/>
    <s v="all-case impact"/>
    <s v="gemini-python-with_lib"/>
    <n v="0"/>
    <x v="1"/>
    <x v="0"/>
    <m/>
    <m/>
    <n v="0"/>
    <n v="0"/>
    <n v="0"/>
  </r>
  <r>
    <n v="239"/>
    <s v="wrap"/>
    <s v="variable assign missing fault"/>
    <s v="format error"/>
    <s v="all-case impact"/>
    <s v="gemini-python-with_lib"/>
    <n v="0.33333333333333331"/>
    <x v="1"/>
    <x v="0"/>
    <m/>
    <m/>
    <n v="1"/>
    <n v="0"/>
    <n v="1"/>
  </r>
  <r>
    <n v="240"/>
    <s v="bitcount"/>
    <s v="variable assign fault"/>
    <s v="infinite loop error"/>
    <s v="all-case impact"/>
    <s v="claude-python-with_location"/>
    <n v="1"/>
    <x v="0"/>
    <x v="2"/>
    <m/>
    <m/>
    <n v="1"/>
    <n v="1"/>
    <n v="0"/>
  </r>
  <r>
    <n v="241"/>
    <s v="breadth_first_search"/>
    <s v="condition fault"/>
    <s v="infinite loop error"/>
    <s v="edge-case impact"/>
    <s v="claude-python-with_location"/>
    <n v="1"/>
    <x v="0"/>
    <x v="2"/>
    <m/>
    <m/>
    <n v="1"/>
    <n v="1"/>
    <n v="0"/>
  </r>
  <r>
    <n v="242"/>
    <s v="bucketsort"/>
    <s v="variable misuse fault"/>
    <s v="output error"/>
    <s v="all-case impact"/>
    <s v="claude-python-with_location"/>
    <n v="1"/>
    <x v="0"/>
    <x v="2"/>
    <m/>
    <m/>
    <n v="1"/>
    <n v="1"/>
    <n v="0"/>
  </r>
  <r>
    <n v="243"/>
    <s v="depth_first_search"/>
    <s v="variable misuse fault"/>
    <s v="infinite loop error"/>
    <s v="edge-case impact"/>
    <s v="claude-python-with_location"/>
    <n v="1"/>
    <x v="0"/>
    <x v="2"/>
    <m/>
    <m/>
    <n v="1"/>
    <n v="1"/>
    <n v="0"/>
  </r>
  <r>
    <n v="244"/>
    <s v="detect_cycle"/>
    <s v="condition fault"/>
    <s v="runtime error"/>
    <s v="edge-case impact"/>
    <s v="claude-python-with_location"/>
    <n v="1"/>
    <x v="0"/>
    <x v="2"/>
    <m/>
    <m/>
    <n v="1"/>
    <n v="1"/>
    <n v="0"/>
  </r>
  <r>
    <n v="245"/>
    <s v="find_first_in_sorted"/>
    <s v="condition fault"/>
    <s v="infinite loop error"/>
    <s v="edge-case impact"/>
    <s v="claude-python-with_location"/>
    <n v="1"/>
    <x v="0"/>
    <x v="2"/>
    <m/>
    <m/>
    <n v="1"/>
    <n v="1"/>
    <n v="0"/>
  </r>
  <r>
    <n v="246"/>
    <s v="find_in_sorted"/>
    <s v="indexing fault"/>
    <s v="infinite loop error"/>
    <s v="edge-case impact"/>
    <s v="claude-python-with_location"/>
    <n v="1"/>
    <x v="0"/>
    <x v="2"/>
    <m/>
    <m/>
    <n v="1"/>
    <n v="1"/>
    <n v="0"/>
  </r>
  <r>
    <n v="247"/>
    <s v="flatten"/>
    <s v="variable misuse fault"/>
    <s v="format error"/>
    <s v="base-case impact"/>
    <s v="claude-python-with_location"/>
    <n v="1"/>
    <x v="0"/>
    <x v="2"/>
    <m/>
    <m/>
    <n v="1"/>
    <n v="1"/>
    <n v="0"/>
  </r>
  <r>
    <n v="248"/>
    <s v="gcd"/>
    <s v="variable misuse fault"/>
    <s v="infinite loop error"/>
    <s v="base-case impact"/>
    <s v="claude-python-with_location"/>
    <n v="1"/>
    <x v="0"/>
    <x v="2"/>
    <m/>
    <m/>
    <n v="1"/>
    <n v="1"/>
    <n v="0"/>
  </r>
  <r>
    <n v="249"/>
    <s v="get_factors"/>
    <s v="variable assign fault"/>
    <s v="output error"/>
    <s v="base-case impact"/>
    <s v="claude-python-with_location"/>
    <n v="1"/>
    <x v="0"/>
    <x v="2"/>
    <m/>
    <m/>
    <n v="1"/>
    <n v="1"/>
    <n v="0"/>
  </r>
  <r>
    <n v="250"/>
    <s v="hanoi"/>
    <s v="variable misuse fault"/>
    <s v="output error"/>
    <s v="all-case impact"/>
    <s v="claude-python-with_location"/>
    <n v="1"/>
    <x v="0"/>
    <x v="2"/>
    <m/>
    <m/>
    <n v="1"/>
    <n v="1"/>
    <n v="0"/>
  </r>
  <r>
    <n v="251"/>
    <s v="is_valid_parenthesization"/>
    <s v="variable assign fault"/>
    <s v="output error"/>
    <s v="edge-case impact"/>
    <s v="claude-python-with_location"/>
    <n v="1"/>
    <x v="0"/>
    <x v="2"/>
    <m/>
    <m/>
    <n v="1"/>
    <n v="1"/>
    <n v="0"/>
  </r>
  <r>
    <n v="252"/>
    <s v="kheapsort"/>
    <s v="indexing fault"/>
    <s v="output error"/>
    <s v="base-case impact"/>
    <s v="claude-python-with_location"/>
    <n v="1"/>
    <x v="0"/>
    <x v="2"/>
    <m/>
    <m/>
    <n v="1"/>
    <n v="1"/>
    <n v="0"/>
  </r>
  <r>
    <n v="253"/>
    <s v="knapsack"/>
    <s v="condition fault"/>
    <s v="output error"/>
    <s v="edge-case impact"/>
    <s v="claude-python-with_location"/>
    <n v="1"/>
    <x v="0"/>
    <x v="2"/>
    <m/>
    <m/>
    <n v="1"/>
    <n v="1"/>
    <n v="0"/>
  </r>
  <r>
    <n v="254"/>
    <s v="kth"/>
    <s v="variable assign fault"/>
    <s v="runtime error"/>
    <s v="base-case impact"/>
    <s v="claude-python-with_location"/>
    <n v="1"/>
    <x v="0"/>
    <x v="2"/>
    <m/>
    <m/>
    <n v="1"/>
    <n v="1"/>
    <n v="0"/>
  </r>
  <r>
    <n v="255"/>
    <s v="lcs_length"/>
    <s v="indexing fault"/>
    <s v="output error"/>
    <s v="base-case impact"/>
    <s v="claude-python-with_location"/>
    <n v="1"/>
    <x v="0"/>
    <x v="2"/>
    <m/>
    <m/>
    <n v="1"/>
    <n v="1"/>
    <n v="0"/>
  </r>
  <r>
    <n v="256"/>
    <s v="levenshtein"/>
    <s v="variable assign fault"/>
    <s v="output error"/>
    <s v="base-case impact"/>
    <s v="claude-python-with_location"/>
    <n v="1"/>
    <x v="0"/>
    <x v="2"/>
    <m/>
    <m/>
    <n v="1"/>
    <n v="1"/>
    <n v="0"/>
  </r>
  <r>
    <n v="257"/>
    <s v="lis"/>
    <s v="variable assign fault"/>
    <s v="output error"/>
    <s v="base-case impact"/>
    <s v="claude-python-with_location"/>
    <n v="1"/>
    <x v="0"/>
    <x v="2"/>
    <m/>
    <m/>
    <n v="1"/>
    <n v="1"/>
    <n v="0"/>
  </r>
  <r>
    <n v="258"/>
    <s v="longest_common_subsequence"/>
    <s v="indexing fault"/>
    <s v="output error"/>
    <s v="edge-case impact"/>
    <s v="claude-python-with_location"/>
    <n v="1"/>
    <x v="0"/>
    <x v="2"/>
    <m/>
    <m/>
    <n v="1"/>
    <n v="1"/>
    <n v="0"/>
  </r>
  <r>
    <n v="259"/>
    <s v="max_sublist_sum"/>
    <s v="variable assign fault"/>
    <s v="output error"/>
    <s v="base-case impact"/>
    <s v="claude-python-with_location"/>
    <n v="1"/>
    <x v="0"/>
    <x v="2"/>
    <m/>
    <m/>
    <n v="1"/>
    <n v="1"/>
    <n v="0"/>
  </r>
  <r>
    <n v="260"/>
    <s v="mergesort"/>
    <s v="condition fault"/>
    <s v="infinite loop error"/>
    <s v="all-case impact"/>
    <s v="claude-python-with_location"/>
    <n v="1"/>
    <x v="0"/>
    <x v="2"/>
    <m/>
    <m/>
    <n v="1"/>
    <n v="1"/>
    <n v="0"/>
  </r>
  <r>
    <n v="261"/>
    <s v="minimum_spanning_tree"/>
    <s v="variable misuse fault"/>
    <s v="runtime error"/>
    <s v="all-case impact"/>
    <s v="claude-python-with_location"/>
    <n v="1"/>
    <x v="0"/>
    <x v="2"/>
    <m/>
    <m/>
    <n v="1"/>
    <n v="1"/>
    <n v="0"/>
  </r>
  <r>
    <n v="262"/>
    <s v="next_palindrome"/>
    <s v="variable assign fault"/>
    <s v="format error"/>
    <s v="edge-case impact"/>
    <s v="claude-python-with_location"/>
    <n v="0.66666666666666663"/>
    <x v="0"/>
    <x v="2"/>
    <m/>
    <m/>
    <n v="1"/>
    <n v="0"/>
    <n v="1"/>
  </r>
  <r>
    <n v="263"/>
    <s v="next_permutation"/>
    <s v="condition fault"/>
    <s v="output error"/>
    <s v="all-case impact"/>
    <s v="claude-python-with_location"/>
    <n v="1"/>
    <x v="0"/>
    <x v="2"/>
    <m/>
    <m/>
    <n v="1"/>
    <n v="1"/>
    <n v="0"/>
  </r>
  <r>
    <n v="264"/>
    <s v="pascal"/>
    <s v="indexing fault"/>
    <s v="runtime error"/>
    <s v="base-case impact"/>
    <s v="claude-python-with_location"/>
    <n v="1"/>
    <x v="0"/>
    <x v="2"/>
    <m/>
    <m/>
    <n v="1"/>
    <n v="1"/>
    <n v="0"/>
  </r>
  <r>
    <n v="265"/>
    <s v="possible_change"/>
    <s v="condition fault"/>
    <s v="runtime error"/>
    <s v="edge-case impact"/>
    <s v="claude-python-with_location"/>
    <n v="1"/>
    <x v="0"/>
    <x v="2"/>
    <m/>
    <m/>
    <n v="1"/>
    <n v="1"/>
    <n v="0"/>
  </r>
  <r>
    <n v="266"/>
    <s v="powerset"/>
    <s v="variable assign fault"/>
    <s v="output error"/>
    <s v="base-case impact"/>
    <s v="claude-python-with_location"/>
    <n v="1"/>
    <x v="0"/>
    <x v="2"/>
    <m/>
    <m/>
    <n v="1"/>
    <n v="1"/>
    <n v="0"/>
  </r>
  <r>
    <n v="267"/>
    <s v="quicksort"/>
    <s v="condition fault"/>
    <s v="output error"/>
    <s v="edge-case impact"/>
    <s v="claude-python-with_location"/>
    <n v="0.66666666666666663"/>
    <x v="0"/>
    <x v="2"/>
    <m/>
    <m/>
    <n v="1"/>
    <n v="0"/>
    <n v="1"/>
  </r>
  <r>
    <n v="268"/>
    <s v="reverse_linked_list"/>
    <s v="variable assign missing fault"/>
    <s v="output error"/>
    <s v="all-case impact"/>
    <s v="claude-python-with_location"/>
    <n v="1"/>
    <x v="0"/>
    <x v="2"/>
    <m/>
    <m/>
    <n v="1"/>
    <n v="1"/>
    <n v="0"/>
  </r>
  <r>
    <n v="269"/>
    <s v="rpn_eval"/>
    <s v="variable assign fault"/>
    <s v="output error"/>
    <s v="edge-case impact"/>
    <s v="claude-python-with_location"/>
    <n v="1"/>
    <x v="0"/>
    <x v="2"/>
    <m/>
    <m/>
    <n v="1"/>
    <n v="1"/>
    <n v="0"/>
  </r>
  <r>
    <n v="270"/>
    <s v="shortest_path_length"/>
    <s v="variable assign fault"/>
    <s v="output error"/>
    <s v="base-case impact"/>
    <s v="claude-python-with_location"/>
    <n v="1"/>
    <x v="0"/>
    <x v="2"/>
    <m/>
    <m/>
    <n v="1"/>
    <n v="1"/>
    <n v="0"/>
  </r>
  <r>
    <n v="271"/>
    <s v="shortest_path_lengths"/>
    <s v="indexing fault"/>
    <s v="output error"/>
    <s v="all-case impact"/>
    <s v="claude-python-with_location"/>
    <n v="1"/>
    <x v="0"/>
    <x v="2"/>
    <m/>
    <m/>
    <n v="1"/>
    <n v="1"/>
    <n v="0"/>
  </r>
  <r>
    <n v="272"/>
    <s v="shortest_paths"/>
    <s v="variable misuse fault"/>
    <s v="output error"/>
    <s v="all-case impact"/>
    <s v="claude-python-with_location"/>
    <n v="1"/>
    <x v="0"/>
    <x v="2"/>
    <m/>
    <m/>
    <n v="1"/>
    <n v="1"/>
    <n v="0"/>
  </r>
  <r>
    <n v="273"/>
    <s v="shunting_yard"/>
    <s v="variable assign missing fault"/>
    <s v="output error"/>
    <s v="base-case impact"/>
    <s v="claude-python-with_location"/>
    <n v="1"/>
    <x v="0"/>
    <x v="2"/>
    <m/>
    <m/>
    <n v="1"/>
    <n v="1"/>
    <n v="0"/>
  </r>
  <r>
    <n v="274"/>
    <s v="sieve"/>
    <s v="condition fault"/>
    <s v="output error"/>
    <s v="base-case impact"/>
    <s v="claude-python-with_location"/>
    <n v="1"/>
    <x v="0"/>
    <x v="2"/>
    <m/>
    <m/>
    <n v="1"/>
    <n v="1"/>
    <n v="0"/>
  </r>
  <r>
    <n v="275"/>
    <s v="sqrt"/>
    <s v="condition fault"/>
    <s v="infinite loop error"/>
    <s v="base-case impact"/>
    <s v="claude-python-with_location"/>
    <n v="1"/>
    <x v="0"/>
    <x v="2"/>
    <m/>
    <m/>
    <n v="1"/>
    <n v="1"/>
    <n v="0"/>
  </r>
  <r>
    <n v="276"/>
    <s v="subsequences"/>
    <s v="variable assign fault"/>
    <s v="output error"/>
    <s v="edge-case impact"/>
    <s v="claude-python-with_location"/>
    <n v="1"/>
    <x v="0"/>
    <x v="2"/>
    <m/>
    <m/>
    <n v="1"/>
    <n v="1"/>
    <n v="0"/>
  </r>
  <r>
    <n v="277"/>
    <s v="to_base"/>
    <s v="variable assign fault"/>
    <s v="output error"/>
    <s v="base-case impact"/>
    <s v="claude-python-with_location"/>
    <n v="1"/>
    <x v="0"/>
    <x v="2"/>
    <m/>
    <m/>
    <n v="1"/>
    <n v="1"/>
    <n v="0"/>
  </r>
  <r>
    <n v="278"/>
    <s v="topological_ordering"/>
    <s v="condition fault"/>
    <s v="output error"/>
    <s v="all-case impact"/>
    <s v="claude-python-with_location"/>
    <n v="1"/>
    <x v="0"/>
    <x v="2"/>
    <m/>
    <m/>
    <n v="1"/>
    <n v="1"/>
    <n v="0"/>
  </r>
  <r>
    <n v="279"/>
    <s v="wrap"/>
    <s v="variable assign missing fault"/>
    <s v="format error"/>
    <s v="all-case impact"/>
    <s v="claude-python-with_location"/>
    <n v="0"/>
    <x v="0"/>
    <x v="2"/>
    <m/>
    <m/>
    <n v="0"/>
    <n v="0"/>
    <n v="0"/>
  </r>
  <r>
    <n v="280"/>
    <s v="bitcount"/>
    <s v="variable assign fault"/>
    <s v="infinite loop error"/>
    <s v="all-case impact"/>
    <s v="gpt4-python-with_lib"/>
    <n v="1"/>
    <x v="1"/>
    <x v="3"/>
    <m/>
    <m/>
    <n v="1"/>
    <n v="1"/>
    <n v="0"/>
  </r>
  <r>
    <n v="281"/>
    <s v="breadth_first_search"/>
    <s v="condition fault"/>
    <s v="infinite loop error"/>
    <s v="edge-case impact"/>
    <s v="gpt4-python-with_lib"/>
    <n v="1"/>
    <x v="1"/>
    <x v="3"/>
    <m/>
    <m/>
    <n v="1"/>
    <n v="1"/>
    <n v="0"/>
  </r>
  <r>
    <n v="282"/>
    <s v="bucketsort"/>
    <s v="variable misuse fault"/>
    <s v="output error"/>
    <s v="all-case impact"/>
    <s v="gpt4-python-with_lib"/>
    <n v="1"/>
    <x v="1"/>
    <x v="3"/>
    <m/>
    <m/>
    <n v="1"/>
    <n v="1"/>
    <n v="0"/>
  </r>
  <r>
    <n v="283"/>
    <s v="depth_first_search"/>
    <s v="variable misuse fault"/>
    <s v="infinite loop error"/>
    <s v="edge-case impact"/>
    <s v="gpt4-python-with_lib"/>
    <n v="0.33333333333333331"/>
    <x v="1"/>
    <x v="3"/>
    <m/>
    <m/>
    <n v="1"/>
    <n v="0"/>
    <n v="1"/>
  </r>
  <r>
    <n v="284"/>
    <s v="detect_cycle"/>
    <s v="condition fault"/>
    <s v="runtime error"/>
    <s v="edge-case impact"/>
    <s v="gpt4-python-with_lib"/>
    <n v="1"/>
    <x v="1"/>
    <x v="3"/>
    <m/>
    <m/>
    <n v="1"/>
    <n v="1"/>
    <n v="0"/>
  </r>
  <r>
    <n v="285"/>
    <s v="find_first_in_sorted"/>
    <s v="condition fault"/>
    <s v="infinite loop error"/>
    <s v="edge-case impact"/>
    <s v="gpt4-python-with_lib"/>
    <n v="1"/>
    <x v="1"/>
    <x v="3"/>
    <m/>
    <m/>
    <n v="1"/>
    <n v="1"/>
    <n v="0"/>
  </r>
  <r>
    <n v="286"/>
    <s v="find_in_sorted"/>
    <s v="indexing fault"/>
    <s v="infinite loop error"/>
    <s v="edge-case impact"/>
    <s v="gpt4-python-with_lib"/>
    <n v="1"/>
    <x v="1"/>
    <x v="3"/>
    <m/>
    <m/>
    <n v="1"/>
    <n v="1"/>
    <n v="0"/>
  </r>
  <r>
    <n v="287"/>
    <s v="flatten"/>
    <s v="variable misuse fault"/>
    <s v="format error"/>
    <s v="base-case impact"/>
    <s v="gpt4-python-with_lib"/>
    <n v="1"/>
    <x v="1"/>
    <x v="3"/>
    <m/>
    <m/>
    <n v="1"/>
    <n v="1"/>
    <n v="0"/>
  </r>
  <r>
    <n v="288"/>
    <s v="gcd"/>
    <s v="variable misuse fault"/>
    <s v="infinite loop error"/>
    <s v="base-case impact"/>
    <s v="gpt4-python-with_lib"/>
    <n v="1"/>
    <x v="1"/>
    <x v="3"/>
    <m/>
    <m/>
    <n v="1"/>
    <n v="1"/>
    <n v="0"/>
  </r>
  <r>
    <n v="289"/>
    <s v="get_factors"/>
    <s v="variable assign fault"/>
    <s v="output error"/>
    <s v="base-case impact"/>
    <s v="gpt4-python-with_lib"/>
    <n v="1"/>
    <x v="1"/>
    <x v="3"/>
    <m/>
    <m/>
    <n v="1"/>
    <n v="1"/>
    <n v="0"/>
  </r>
  <r>
    <n v="290"/>
    <s v="hanoi"/>
    <s v="variable misuse fault"/>
    <s v="output error"/>
    <s v="all-case impact"/>
    <s v="gpt4-python-with_lib"/>
    <n v="1"/>
    <x v="1"/>
    <x v="3"/>
    <m/>
    <m/>
    <n v="1"/>
    <n v="1"/>
    <n v="0"/>
  </r>
  <r>
    <n v="291"/>
    <s v="is_valid_parenthesization"/>
    <s v="variable assign fault"/>
    <s v="output error"/>
    <s v="edge-case impact"/>
    <s v="gpt4-python-with_lib"/>
    <n v="1"/>
    <x v="1"/>
    <x v="3"/>
    <m/>
    <m/>
    <n v="1"/>
    <n v="1"/>
    <n v="0"/>
  </r>
  <r>
    <n v="292"/>
    <s v="kheapsort"/>
    <s v="indexing fault"/>
    <s v="output error"/>
    <s v="base-case impact"/>
    <s v="gpt4-python-with_lib"/>
    <n v="0.66666666666666663"/>
    <x v="1"/>
    <x v="3"/>
    <m/>
    <m/>
    <n v="1"/>
    <n v="0"/>
    <n v="1"/>
  </r>
  <r>
    <n v="293"/>
    <s v="knapsack"/>
    <s v="condition fault"/>
    <s v="output error"/>
    <s v="edge-case impact"/>
    <s v="gpt4-python-with_lib"/>
    <n v="1"/>
    <x v="1"/>
    <x v="3"/>
    <m/>
    <m/>
    <n v="1"/>
    <n v="1"/>
    <n v="0"/>
  </r>
  <r>
    <n v="294"/>
    <s v="kth"/>
    <s v="variable assign fault"/>
    <s v="runtime error"/>
    <s v="base-case impact"/>
    <s v="gpt4-python-with_lib"/>
    <n v="1"/>
    <x v="1"/>
    <x v="3"/>
    <m/>
    <m/>
    <n v="1"/>
    <n v="1"/>
    <n v="0"/>
  </r>
  <r>
    <n v="295"/>
    <s v="lcs_length"/>
    <s v="indexing fault"/>
    <s v="output error"/>
    <s v="base-case impact"/>
    <s v="gpt4-python-with_lib"/>
    <n v="0"/>
    <x v="1"/>
    <x v="3"/>
    <m/>
    <m/>
    <n v="0"/>
    <n v="0"/>
    <n v="0"/>
  </r>
  <r>
    <n v="296"/>
    <s v="levenshtein"/>
    <s v="variable assign fault"/>
    <s v="output error"/>
    <s v="base-case impact"/>
    <s v="gpt4-python-with_lib"/>
    <n v="1"/>
    <x v="1"/>
    <x v="3"/>
    <m/>
    <m/>
    <n v="1"/>
    <n v="1"/>
    <n v="0"/>
  </r>
  <r>
    <n v="297"/>
    <s v="lis"/>
    <s v="variable assign fault"/>
    <s v="output error"/>
    <s v="base-case impact"/>
    <s v="gpt4-python-with_lib"/>
    <n v="0.66666666666666663"/>
    <x v="1"/>
    <x v="3"/>
    <m/>
    <m/>
    <n v="1"/>
    <n v="0"/>
    <n v="1"/>
  </r>
  <r>
    <n v="298"/>
    <s v="longest_common_subsequence"/>
    <s v="indexing fault"/>
    <s v="output error"/>
    <s v="edge-case impact"/>
    <s v="gpt4-python-with_lib"/>
    <n v="1"/>
    <x v="1"/>
    <x v="3"/>
    <m/>
    <m/>
    <n v="1"/>
    <n v="1"/>
    <n v="0"/>
  </r>
  <r>
    <n v="299"/>
    <s v="max_sublist_sum"/>
    <s v="variable assign fault"/>
    <s v="output error"/>
    <s v="base-case impact"/>
    <s v="gpt4-python-with_lib"/>
    <n v="0"/>
    <x v="1"/>
    <x v="3"/>
    <m/>
    <m/>
    <n v="0"/>
    <n v="0"/>
    <n v="0"/>
  </r>
  <r>
    <n v="300"/>
    <s v="mergesort"/>
    <s v="condition fault"/>
    <s v="infinite loop error"/>
    <s v="all-case impact"/>
    <s v="gpt4-python-with_lib"/>
    <n v="1"/>
    <x v="1"/>
    <x v="3"/>
    <m/>
    <m/>
    <n v="1"/>
    <n v="1"/>
    <n v="0"/>
  </r>
  <r>
    <n v="301"/>
    <s v="minimum_spanning_tree"/>
    <s v="variable misuse fault"/>
    <s v="runtime error"/>
    <s v="all-case impact"/>
    <s v="gpt4-python-with_lib"/>
    <n v="1"/>
    <x v="1"/>
    <x v="3"/>
    <m/>
    <m/>
    <n v="1"/>
    <n v="1"/>
    <n v="0"/>
  </r>
  <r>
    <n v="302"/>
    <s v="next_palindrome"/>
    <s v="variable assign fault"/>
    <s v="format error"/>
    <s v="edge-case impact"/>
    <s v="gpt4-python-with_lib"/>
    <n v="0.66666666666666663"/>
    <x v="1"/>
    <x v="3"/>
    <m/>
    <m/>
    <n v="1"/>
    <n v="0"/>
    <n v="1"/>
  </r>
  <r>
    <n v="303"/>
    <s v="next_permutation"/>
    <s v="condition fault"/>
    <s v="output error"/>
    <s v="all-case impact"/>
    <s v="gpt4-python-with_lib"/>
    <n v="1"/>
    <x v="1"/>
    <x v="3"/>
    <m/>
    <m/>
    <n v="1"/>
    <n v="1"/>
    <n v="0"/>
  </r>
  <r>
    <n v="304"/>
    <s v="pascal"/>
    <s v="indexing fault"/>
    <s v="runtime error"/>
    <s v="base-case impact"/>
    <s v="gpt4-python-with_lib"/>
    <n v="1"/>
    <x v="1"/>
    <x v="3"/>
    <m/>
    <m/>
    <n v="1"/>
    <n v="1"/>
    <n v="0"/>
  </r>
  <r>
    <n v="305"/>
    <s v="possible_change"/>
    <s v="condition fault"/>
    <s v="runtime error"/>
    <s v="edge-case impact"/>
    <s v="gpt4-python-with_lib"/>
    <n v="1"/>
    <x v="1"/>
    <x v="3"/>
    <m/>
    <m/>
    <n v="1"/>
    <n v="1"/>
    <n v="0"/>
  </r>
  <r>
    <n v="306"/>
    <s v="powerset"/>
    <s v="variable assign fault"/>
    <s v="output error"/>
    <s v="base-case impact"/>
    <s v="gpt4-python-with_lib"/>
    <n v="1"/>
    <x v="1"/>
    <x v="3"/>
    <m/>
    <m/>
    <n v="1"/>
    <n v="1"/>
    <n v="0"/>
  </r>
  <r>
    <n v="307"/>
    <s v="quicksort"/>
    <s v="condition fault"/>
    <s v="output error"/>
    <s v="edge-case impact"/>
    <s v="gpt4-python-with_lib"/>
    <n v="1"/>
    <x v="1"/>
    <x v="3"/>
    <m/>
    <m/>
    <n v="1"/>
    <n v="1"/>
    <n v="0"/>
  </r>
  <r>
    <n v="308"/>
    <s v="reverse_linked_list"/>
    <s v="variable assign missing fault"/>
    <s v="output error"/>
    <s v="all-case impact"/>
    <s v="gpt4-python-with_lib"/>
    <n v="1"/>
    <x v="1"/>
    <x v="3"/>
    <m/>
    <m/>
    <n v="1"/>
    <n v="1"/>
    <n v="0"/>
  </r>
  <r>
    <n v="309"/>
    <s v="rpn_eval"/>
    <s v="variable assign fault"/>
    <s v="output error"/>
    <s v="edge-case impact"/>
    <s v="gpt4-python-with_lib"/>
    <n v="0.66666666666666663"/>
    <x v="1"/>
    <x v="3"/>
    <m/>
    <m/>
    <n v="1"/>
    <n v="0"/>
    <n v="1"/>
  </r>
  <r>
    <n v="310"/>
    <s v="shortest_path_length"/>
    <s v="variable assign fault"/>
    <s v="output error"/>
    <s v="base-case impact"/>
    <s v="gpt4-python-with_lib"/>
    <n v="0"/>
    <x v="1"/>
    <x v="3"/>
    <m/>
    <m/>
    <n v="0"/>
    <n v="0"/>
    <n v="0"/>
  </r>
  <r>
    <n v="311"/>
    <s v="shortest_path_lengths"/>
    <s v="indexing fault"/>
    <s v="output error"/>
    <s v="all-case impact"/>
    <s v="gpt4-python-with_lib"/>
    <n v="1"/>
    <x v="1"/>
    <x v="3"/>
    <m/>
    <m/>
    <n v="1"/>
    <n v="1"/>
    <n v="0"/>
  </r>
  <r>
    <n v="312"/>
    <s v="shortest_paths"/>
    <s v="variable misuse fault"/>
    <s v="output error"/>
    <s v="all-case impact"/>
    <s v="gpt4-python-with_lib"/>
    <n v="1"/>
    <x v="1"/>
    <x v="3"/>
    <m/>
    <m/>
    <n v="1"/>
    <n v="1"/>
    <n v="0"/>
  </r>
  <r>
    <n v="313"/>
    <s v="shunting_yard"/>
    <s v="variable assign missing fault"/>
    <s v="output error"/>
    <s v="base-case impact"/>
    <s v="gpt4-python-with_lib"/>
    <n v="1"/>
    <x v="1"/>
    <x v="3"/>
    <m/>
    <m/>
    <n v="1"/>
    <n v="1"/>
    <n v="0"/>
  </r>
  <r>
    <n v="314"/>
    <s v="sieve"/>
    <s v="condition fault"/>
    <s v="output error"/>
    <s v="base-case impact"/>
    <s v="gpt4-python-with_lib"/>
    <n v="1"/>
    <x v="1"/>
    <x v="3"/>
    <m/>
    <m/>
    <n v="1"/>
    <n v="1"/>
    <n v="0"/>
  </r>
  <r>
    <n v="315"/>
    <s v="sqrt"/>
    <s v="condition fault"/>
    <s v="infinite loop error"/>
    <s v="base-case impact"/>
    <s v="gpt4-python-with_lib"/>
    <n v="1"/>
    <x v="1"/>
    <x v="3"/>
    <m/>
    <m/>
    <n v="1"/>
    <n v="1"/>
    <n v="0"/>
  </r>
  <r>
    <n v="316"/>
    <s v="subsequences"/>
    <s v="variable assign fault"/>
    <s v="output error"/>
    <s v="edge-case impact"/>
    <s v="gpt4-python-with_lib"/>
    <n v="0"/>
    <x v="1"/>
    <x v="3"/>
    <m/>
    <m/>
    <n v="0"/>
    <n v="0"/>
    <n v="0"/>
  </r>
  <r>
    <n v="317"/>
    <s v="to_base"/>
    <s v="variable assign fault"/>
    <s v="output error"/>
    <s v="base-case impact"/>
    <s v="gpt4-python-with_lib"/>
    <n v="1"/>
    <x v="1"/>
    <x v="3"/>
    <m/>
    <m/>
    <n v="1"/>
    <n v="1"/>
    <n v="0"/>
  </r>
  <r>
    <n v="318"/>
    <s v="topological_ordering"/>
    <s v="condition fault"/>
    <s v="output error"/>
    <s v="all-case impact"/>
    <s v="gpt4-python-with_lib"/>
    <n v="1"/>
    <x v="1"/>
    <x v="3"/>
    <m/>
    <m/>
    <n v="1"/>
    <n v="1"/>
    <n v="0"/>
  </r>
  <r>
    <n v="319"/>
    <s v="wrap"/>
    <s v="variable assign missing fault"/>
    <s v="format error"/>
    <s v="all-case impact"/>
    <s v="gpt4-python-with_lib"/>
    <n v="0"/>
    <x v="1"/>
    <x v="3"/>
    <m/>
    <m/>
    <n v="0"/>
    <n v="0"/>
    <n v="0"/>
  </r>
  <r>
    <n v="320"/>
    <s v="bitcount"/>
    <s v="variable assign fault"/>
    <s v="infinite loop error"/>
    <s v="all-case impact"/>
    <s v="gpt35-python-basic"/>
    <n v="1"/>
    <x v="2"/>
    <x v="1"/>
    <m/>
    <m/>
    <n v="1"/>
    <n v="1"/>
    <n v="0"/>
  </r>
  <r>
    <n v="321"/>
    <s v="breadth_first_search"/>
    <s v="condition fault"/>
    <s v="infinite loop error"/>
    <s v="edge-case impact"/>
    <s v="gpt35-python-basic"/>
    <n v="1"/>
    <x v="2"/>
    <x v="1"/>
    <m/>
    <m/>
    <n v="1"/>
    <n v="1"/>
    <n v="0"/>
  </r>
  <r>
    <n v="322"/>
    <s v="bucketsort"/>
    <s v="variable misuse fault"/>
    <s v="output error"/>
    <s v="all-case impact"/>
    <s v="gpt35-python-basic"/>
    <n v="1"/>
    <x v="2"/>
    <x v="1"/>
    <m/>
    <m/>
    <n v="1"/>
    <n v="1"/>
    <n v="0"/>
  </r>
  <r>
    <n v="323"/>
    <s v="depth_first_search"/>
    <s v="variable misuse fault"/>
    <s v="infinite loop error"/>
    <s v="edge-case impact"/>
    <s v="gpt35-python-basic"/>
    <n v="1"/>
    <x v="2"/>
    <x v="1"/>
    <m/>
    <m/>
    <n v="1"/>
    <n v="1"/>
    <n v="0"/>
  </r>
  <r>
    <n v="324"/>
    <s v="detect_cycle"/>
    <s v="condition fault"/>
    <s v="runtime error"/>
    <s v="edge-case impact"/>
    <s v="gpt35-python-basic"/>
    <n v="0.66666666666666663"/>
    <x v="2"/>
    <x v="1"/>
    <m/>
    <m/>
    <n v="1"/>
    <n v="0"/>
    <n v="1"/>
  </r>
  <r>
    <n v="325"/>
    <s v="find_first_in_sorted"/>
    <s v="condition fault"/>
    <s v="infinite loop error"/>
    <s v="edge-case impact"/>
    <s v="gpt35-python-basic"/>
    <n v="1"/>
    <x v="2"/>
    <x v="1"/>
    <m/>
    <m/>
    <n v="1"/>
    <n v="1"/>
    <n v="0"/>
  </r>
  <r>
    <n v="326"/>
    <s v="find_in_sorted"/>
    <s v="indexing fault"/>
    <s v="infinite loop error"/>
    <s v="edge-case impact"/>
    <s v="gpt35-python-basic"/>
    <n v="1"/>
    <x v="2"/>
    <x v="1"/>
    <m/>
    <m/>
    <n v="1"/>
    <n v="1"/>
    <n v="0"/>
  </r>
  <r>
    <n v="327"/>
    <s v="flatten"/>
    <s v="variable misuse fault"/>
    <s v="format error"/>
    <s v="base-case impact"/>
    <s v="gpt35-python-basic"/>
    <n v="1"/>
    <x v="2"/>
    <x v="1"/>
    <m/>
    <m/>
    <n v="1"/>
    <n v="1"/>
    <n v="0"/>
  </r>
  <r>
    <n v="328"/>
    <s v="gcd"/>
    <s v="variable misuse fault"/>
    <s v="infinite loop error"/>
    <s v="base-case impact"/>
    <s v="gpt35-python-basic"/>
    <n v="1"/>
    <x v="2"/>
    <x v="1"/>
    <m/>
    <m/>
    <n v="1"/>
    <n v="1"/>
    <n v="0"/>
  </r>
  <r>
    <n v="329"/>
    <s v="get_factors"/>
    <s v="variable assign fault"/>
    <s v="output error"/>
    <s v="base-case impact"/>
    <s v="gpt35-python-basic"/>
    <n v="0"/>
    <x v="2"/>
    <x v="1"/>
    <m/>
    <m/>
    <n v="0"/>
    <n v="0"/>
    <n v="0"/>
  </r>
  <r>
    <n v="330"/>
    <s v="hanoi"/>
    <s v="variable misuse fault"/>
    <s v="output error"/>
    <s v="all-case impact"/>
    <s v="gpt35-python-basic"/>
    <n v="1"/>
    <x v="2"/>
    <x v="1"/>
    <m/>
    <m/>
    <n v="1"/>
    <n v="1"/>
    <n v="0"/>
  </r>
  <r>
    <n v="331"/>
    <s v="is_valid_parenthesization"/>
    <s v="variable assign fault"/>
    <s v="output error"/>
    <s v="edge-case impact"/>
    <s v="gpt35-python-basic"/>
    <n v="1"/>
    <x v="2"/>
    <x v="1"/>
    <m/>
    <m/>
    <n v="1"/>
    <n v="1"/>
    <n v="0"/>
  </r>
  <r>
    <n v="332"/>
    <s v="kheapsort"/>
    <s v="indexing fault"/>
    <s v="output error"/>
    <s v="base-case impact"/>
    <s v="gpt35-python-basic"/>
    <n v="1"/>
    <x v="2"/>
    <x v="1"/>
    <m/>
    <m/>
    <n v="1"/>
    <n v="1"/>
    <n v="0"/>
  </r>
  <r>
    <n v="333"/>
    <s v="knapsack"/>
    <s v="condition fault"/>
    <s v="output error"/>
    <s v="edge-case impact"/>
    <s v="gpt35-python-basic"/>
    <n v="1"/>
    <x v="2"/>
    <x v="1"/>
    <m/>
    <m/>
    <n v="1"/>
    <n v="1"/>
    <n v="0"/>
  </r>
  <r>
    <n v="334"/>
    <s v="kth"/>
    <s v="variable assign fault"/>
    <s v="runtime error"/>
    <s v="base-case impact"/>
    <s v="gpt35-python-basic"/>
    <n v="1"/>
    <x v="2"/>
    <x v="1"/>
    <m/>
    <m/>
    <n v="1"/>
    <n v="1"/>
    <n v="0"/>
  </r>
  <r>
    <n v="335"/>
    <s v="lcs_length"/>
    <s v="indexing fault"/>
    <s v="output error"/>
    <s v="base-case impact"/>
    <s v="gpt35-python-basic"/>
    <n v="1"/>
    <x v="2"/>
    <x v="1"/>
    <m/>
    <m/>
    <n v="1"/>
    <n v="1"/>
    <n v="0"/>
  </r>
  <r>
    <n v="336"/>
    <s v="levenshtein"/>
    <s v="variable assign fault"/>
    <s v="output error"/>
    <s v="base-case impact"/>
    <s v="gpt35-python-basic"/>
    <n v="0.66666666666666663"/>
    <x v="2"/>
    <x v="1"/>
    <m/>
    <m/>
    <n v="1"/>
    <n v="0"/>
    <n v="1"/>
  </r>
  <r>
    <n v="337"/>
    <s v="lis"/>
    <s v="variable assign fault"/>
    <s v="output error"/>
    <s v="base-case impact"/>
    <s v="gpt35-python-basic"/>
    <n v="0"/>
    <x v="2"/>
    <x v="1"/>
    <m/>
    <m/>
    <n v="0"/>
    <n v="0"/>
    <n v="0"/>
  </r>
  <r>
    <n v="338"/>
    <s v="longest_common_subsequence"/>
    <s v="indexing fault"/>
    <s v="output error"/>
    <s v="edge-case impact"/>
    <s v="gpt35-python-basic"/>
    <n v="1"/>
    <x v="2"/>
    <x v="1"/>
    <m/>
    <m/>
    <n v="1"/>
    <n v="1"/>
    <n v="0"/>
  </r>
  <r>
    <n v="339"/>
    <s v="max_sublist_sum"/>
    <s v="variable assign fault"/>
    <s v="output error"/>
    <s v="base-case impact"/>
    <s v="gpt35-python-basic"/>
    <n v="0"/>
    <x v="2"/>
    <x v="1"/>
    <m/>
    <m/>
    <n v="0"/>
    <n v="0"/>
    <n v="0"/>
  </r>
  <r>
    <n v="340"/>
    <s v="mergesort"/>
    <s v="condition fault"/>
    <s v="infinite loop error"/>
    <s v="all-case impact"/>
    <s v="gpt35-python-basic"/>
    <n v="1"/>
    <x v="2"/>
    <x v="1"/>
    <m/>
    <m/>
    <n v="1"/>
    <n v="1"/>
    <n v="0"/>
  </r>
  <r>
    <n v="341"/>
    <s v="minimum_spanning_tree"/>
    <s v="variable misuse fault"/>
    <s v="runtime error"/>
    <s v="all-case impact"/>
    <s v="gpt35-python-basic"/>
    <n v="1"/>
    <x v="2"/>
    <x v="1"/>
    <m/>
    <m/>
    <n v="1"/>
    <n v="1"/>
    <n v="0"/>
  </r>
  <r>
    <n v="342"/>
    <s v="next_palindrome"/>
    <s v="variable assign fault"/>
    <s v="format error"/>
    <s v="edge-case impact"/>
    <s v="gpt35-python-basic"/>
    <n v="1"/>
    <x v="2"/>
    <x v="1"/>
    <m/>
    <m/>
    <n v="1"/>
    <n v="1"/>
    <n v="0"/>
  </r>
  <r>
    <n v="343"/>
    <s v="next_permutation"/>
    <s v="condition fault"/>
    <s v="output error"/>
    <s v="all-case impact"/>
    <s v="gpt35-python-basic"/>
    <n v="1"/>
    <x v="2"/>
    <x v="1"/>
    <m/>
    <m/>
    <n v="1"/>
    <n v="1"/>
    <n v="0"/>
  </r>
  <r>
    <n v="344"/>
    <s v="pascal"/>
    <s v="indexing fault"/>
    <s v="runtime error"/>
    <s v="base-case impact"/>
    <s v="gpt35-python-basic"/>
    <n v="1"/>
    <x v="2"/>
    <x v="1"/>
    <m/>
    <m/>
    <n v="1"/>
    <n v="1"/>
    <n v="0"/>
  </r>
  <r>
    <n v="345"/>
    <s v="possible_change"/>
    <s v="condition fault"/>
    <s v="runtime error"/>
    <s v="edge-case impact"/>
    <s v="gpt35-python-basic"/>
    <n v="1"/>
    <x v="2"/>
    <x v="1"/>
    <m/>
    <m/>
    <n v="1"/>
    <n v="1"/>
    <n v="0"/>
  </r>
  <r>
    <n v="346"/>
    <s v="powerset"/>
    <s v="variable assign fault"/>
    <s v="output error"/>
    <s v="base-case impact"/>
    <s v="gpt35-python-basic"/>
    <n v="1"/>
    <x v="2"/>
    <x v="1"/>
    <m/>
    <m/>
    <n v="1"/>
    <n v="1"/>
    <n v="0"/>
  </r>
  <r>
    <n v="347"/>
    <s v="quicksort"/>
    <s v="condition fault"/>
    <s v="output error"/>
    <s v="edge-case impact"/>
    <s v="gpt35-python-basic"/>
    <n v="1"/>
    <x v="2"/>
    <x v="1"/>
    <m/>
    <m/>
    <n v="1"/>
    <n v="1"/>
    <n v="0"/>
  </r>
  <r>
    <n v="348"/>
    <s v="reverse_linked_list"/>
    <s v="variable assign missing fault"/>
    <s v="output error"/>
    <s v="all-case impact"/>
    <s v="gpt35-python-basic"/>
    <n v="0.66666666666666663"/>
    <x v="2"/>
    <x v="1"/>
    <m/>
    <m/>
    <n v="1"/>
    <n v="0"/>
    <n v="1"/>
  </r>
  <r>
    <n v="349"/>
    <s v="rpn_eval"/>
    <s v="variable assign fault"/>
    <s v="output error"/>
    <s v="edge-case impact"/>
    <s v="gpt35-python-basic"/>
    <n v="1"/>
    <x v="2"/>
    <x v="1"/>
    <m/>
    <m/>
    <n v="1"/>
    <n v="1"/>
    <n v="0"/>
  </r>
  <r>
    <n v="350"/>
    <s v="shortest_path_length"/>
    <s v="variable assign fault"/>
    <s v="output error"/>
    <s v="base-case impact"/>
    <s v="gpt35-python-basic"/>
    <n v="1"/>
    <x v="2"/>
    <x v="1"/>
    <m/>
    <m/>
    <n v="1"/>
    <n v="1"/>
    <n v="0"/>
  </r>
  <r>
    <n v="351"/>
    <s v="shortest_path_lengths"/>
    <s v="indexing fault"/>
    <s v="output error"/>
    <s v="all-case impact"/>
    <s v="gpt35-python-basic"/>
    <n v="1"/>
    <x v="2"/>
    <x v="1"/>
    <m/>
    <m/>
    <n v="1"/>
    <n v="1"/>
    <n v="0"/>
  </r>
  <r>
    <n v="352"/>
    <s v="shortest_paths"/>
    <s v="variable misuse fault"/>
    <s v="output error"/>
    <s v="all-case impact"/>
    <s v="gpt35-python-basic"/>
    <n v="1"/>
    <x v="2"/>
    <x v="1"/>
    <m/>
    <m/>
    <n v="1"/>
    <n v="1"/>
    <n v="0"/>
  </r>
  <r>
    <n v="353"/>
    <s v="shunting_yard"/>
    <s v="variable assign missing fault"/>
    <s v="output error"/>
    <s v="base-case impact"/>
    <s v="gpt35-python-basic"/>
    <n v="1"/>
    <x v="2"/>
    <x v="1"/>
    <m/>
    <m/>
    <n v="1"/>
    <n v="1"/>
    <n v="0"/>
  </r>
  <r>
    <n v="354"/>
    <s v="sieve"/>
    <s v="condition fault"/>
    <s v="output error"/>
    <s v="base-case impact"/>
    <s v="gpt35-python-basic"/>
    <n v="1"/>
    <x v="2"/>
    <x v="1"/>
    <m/>
    <m/>
    <n v="1"/>
    <n v="1"/>
    <n v="0"/>
  </r>
  <r>
    <n v="355"/>
    <s v="sqrt"/>
    <s v="condition fault"/>
    <s v="infinite loop error"/>
    <s v="base-case impact"/>
    <s v="gpt35-python-basic"/>
    <n v="1"/>
    <x v="2"/>
    <x v="1"/>
    <m/>
    <m/>
    <n v="1"/>
    <n v="1"/>
    <n v="0"/>
  </r>
  <r>
    <n v="356"/>
    <s v="subsequences"/>
    <s v="variable assign fault"/>
    <s v="output error"/>
    <s v="edge-case impact"/>
    <s v="gpt35-python-basic"/>
    <n v="0"/>
    <x v="2"/>
    <x v="1"/>
    <m/>
    <m/>
    <n v="0"/>
    <n v="0"/>
    <n v="0"/>
  </r>
  <r>
    <n v="357"/>
    <s v="to_base"/>
    <s v="variable assign fault"/>
    <s v="output error"/>
    <s v="base-case impact"/>
    <s v="gpt35-python-basic"/>
    <n v="1"/>
    <x v="2"/>
    <x v="1"/>
    <m/>
    <m/>
    <n v="1"/>
    <n v="1"/>
    <n v="0"/>
  </r>
  <r>
    <n v="358"/>
    <s v="topological_ordering"/>
    <s v="condition fault"/>
    <s v="output error"/>
    <s v="all-case impact"/>
    <s v="gpt35-python-basic"/>
    <n v="1"/>
    <x v="2"/>
    <x v="1"/>
    <m/>
    <m/>
    <n v="1"/>
    <n v="1"/>
    <n v="0"/>
  </r>
  <r>
    <n v="359"/>
    <s v="wrap"/>
    <s v="variable assign missing fault"/>
    <s v="format error"/>
    <s v="all-case impact"/>
    <s v="gpt35-python-basic"/>
    <n v="0"/>
    <x v="2"/>
    <x v="1"/>
    <m/>
    <m/>
    <n v="0"/>
    <n v="0"/>
    <n v="0"/>
  </r>
  <r>
    <n v="360"/>
    <s v="bitcount"/>
    <s v="variable assign fault"/>
    <s v="infinite loop error"/>
    <s v="all-case impact"/>
    <s v="claude-python-with_lib"/>
    <n v="0.66666666666666663"/>
    <x v="1"/>
    <x v="2"/>
    <m/>
    <m/>
    <n v="1"/>
    <n v="0"/>
    <n v="1"/>
  </r>
  <r>
    <n v="361"/>
    <s v="breadth_first_search"/>
    <s v="condition fault"/>
    <s v="infinite loop error"/>
    <s v="edge-case impact"/>
    <s v="claude-python-with_lib"/>
    <n v="1"/>
    <x v="1"/>
    <x v="2"/>
    <m/>
    <m/>
    <n v="1"/>
    <n v="1"/>
    <n v="0"/>
  </r>
  <r>
    <n v="362"/>
    <s v="bucketsort"/>
    <s v="variable misuse fault"/>
    <s v="output error"/>
    <s v="all-case impact"/>
    <s v="claude-python-with_lib"/>
    <n v="1"/>
    <x v="1"/>
    <x v="2"/>
    <m/>
    <m/>
    <n v="1"/>
    <n v="1"/>
    <n v="0"/>
  </r>
  <r>
    <n v="363"/>
    <s v="depth_first_search"/>
    <s v="variable misuse fault"/>
    <s v="infinite loop error"/>
    <s v="edge-case impact"/>
    <s v="claude-python-with_lib"/>
    <n v="1"/>
    <x v="1"/>
    <x v="2"/>
    <m/>
    <m/>
    <n v="1"/>
    <n v="1"/>
    <n v="0"/>
  </r>
  <r>
    <n v="364"/>
    <s v="detect_cycle"/>
    <s v="condition fault"/>
    <s v="runtime error"/>
    <s v="edge-case impact"/>
    <s v="claude-python-with_lib"/>
    <n v="1"/>
    <x v="1"/>
    <x v="2"/>
    <m/>
    <m/>
    <n v="1"/>
    <n v="1"/>
    <n v="0"/>
  </r>
  <r>
    <n v="365"/>
    <s v="find_first_in_sorted"/>
    <s v="condition fault"/>
    <s v="infinite loop error"/>
    <s v="edge-case impact"/>
    <s v="claude-python-with_lib"/>
    <n v="0"/>
    <x v="1"/>
    <x v="2"/>
    <m/>
    <m/>
    <n v="0"/>
    <n v="0"/>
    <n v="0"/>
  </r>
  <r>
    <n v="366"/>
    <s v="find_in_sorted"/>
    <s v="indexing fault"/>
    <s v="infinite loop error"/>
    <s v="edge-case impact"/>
    <s v="claude-python-with_lib"/>
    <n v="1"/>
    <x v="1"/>
    <x v="2"/>
    <m/>
    <m/>
    <n v="1"/>
    <n v="1"/>
    <n v="0"/>
  </r>
  <r>
    <n v="367"/>
    <s v="flatten"/>
    <s v="variable misuse fault"/>
    <s v="format error"/>
    <s v="base-case impact"/>
    <s v="claude-python-with_lib"/>
    <n v="1"/>
    <x v="1"/>
    <x v="2"/>
    <m/>
    <m/>
    <n v="1"/>
    <n v="1"/>
    <n v="0"/>
  </r>
  <r>
    <n v="368"/>
    <s v="gcd"/>
    <s v="variable misuse fault"/>
    <s v="infinite loop error"/>
    <s v="base-case impact"/>
    <s v="claude-python-with_lib"/>
    <n v="0.33333333333333331"/>
    <x v="1"/>
    <x v="2"/>
    <m/>
    <m/>
    <n v="1"/>
    <n v="0"/>
    <n v="1"/>
  </r>
  <r>
    <n v="369"/>
    <s v="get_factors"/>
    <s v="variable assign fault"/>
    <s v="output error"/>
    <s v="base-case impact"/>
    <s v="claude-python-with_lib"/>
    <n v="0.33333333333333331"/>
    <x v="1"/>
    <x v="2"/>
    <m/>
    <m/>
    <n v="1"/>
    <n v="0"/>
    <n v="1"/>
  </r>
  <r>
    <n v="370"/>
    <s v="hanoi"/>
    <s v="variable misuse fault"/>
    <s v="output error"/>
    <s v="all-case impact"/>
    <s v="claude-python-with_lib"/>
    <n v="1"/>
    <x v="1"/>
    <x v="2"/>
    <m/>
    <m/>
    <n v="1"/>
    <n v="1"/>
    <n v="0"/>
  </r>
  <r>
    <n v="371"/>
    <s v="is_valid_parenthesization"/>
    <s v="variable assign fault"/>
    <s v="output error"/>
    <s v="edge-case impact"/>
    <s v="claude-python-with_lib"/>
    <n v="1"/>
    <x v="1"/>
    <x v="2"/>
    <m/>
    <m/>
    <n v="1"/>
    <n v="1"/>
    <n v="0"/>
  </r>
  <r>
    <n v="372"/>
    <s v="kheapsort"/>
    <s v="indexing fault"/>
    <s v="output error"/>
    <s v="base-case impact"/>
    <s v="claude-python-with_lib"/>
    <n v="1"/>
    <x v="1"/>
    <x v="2"/>
    <m/>
    <m/>
    <n v="1"/>
    <n v="1"/>
    <n v="0"/>
  </r>
  <r>
    <n v="373"/>
    <s v="knapsack"/>
    <s v="condition fault"/>
    <s v="output error"/>
    <s v="edge-case impact"/>
    <s v="claude-python-with_lib"/>
    <n v="1"/>
    <x v="1"/>
    <x v="2"/>
    <m/>
    <m/>
    <n v="1"/>
    <n v="1"/>
    <n v="0"/>
  </r>
  <r>
    <n v="374"/>
    <s v="kth"/>
    <s v="variable assign fault"/>
    <s v="runtime error"/>
    <s v="base-case impact"/>
    <s v="claude-python-with_lib"/>
    <n v="1"/>
    <x v="1"/>
    <x v="2"/>
    <m/>
    <m/>
    <n v="1"/>
    <n v="1"/>
    <n v="0"/>
  </r>
  <r>
    <n v="375"/>
    <s v="lcs_length"/>
    <s v="indexing fault"/>
    <s v="output error"/>
    <s v="base-case impact"/>
    <s v="claude-python-with_lib"/>
    <n v="1"/>
    <x v="1"/>
    <x v="2"/>
    <m/>
    <m/>
    <n v="1"/>
    <n v="1"/>
    <n v="0"/>
  </r>
  <r>
    <n v="376"/>
    <s v="levenshtein"/>
    <s v="variable assign fault"/>
    <s v="output error"/>
    <s v="base-case impact"/>
    <s v="claude-python-with_lib"/>
    <n v="1"/>
    <x v="1"/>
    <x v="2"/>
    <m/>
    <m/>
    <n v="1"/>
    <n v="1"/>
    <n v="0"/>
  </r>
  <r>
    <n v="377"/>
    <s v="lis"/>
    <s v="variable assign fault"/>
    <s v="output error"/>
    <s v="base-case impact"/>
    <s v="claude-python-with_lib"/>
    <n v="0.66666666666666663"/>
    <x v="1"/>
    <x v="2"/>
    <m/>
    <m/>
    <n v="1"/>
    <n v="0"/>
    <n v="1"/>
  </r>
  <r>
    <n v="378"/>
    <s v="longest_common_subsequence"/>
    <s v="indexing fault"/>
    <s v="output error"/>
    <s v="edge-case impact"/>
    <s v="claude-python-with_lib"/>
    <n v="1"/>
    <x v="1"/>
    <x v="2"/>
    <m/>
    <m/>
    <n v="1"/>
    <n v="1"/>
    <n v="0"/>
  </r>
  <r>
    <n v="379"/>
    <s v="max_sublist_sum"/>
    <s v="variable assign fault"/>
    <s v="output error"/>
    <s v="base-case impact"/>
    <s v="claude-python-with_lib"/>
    <n v="0"/>
    <x v="1"/>
    <x v="2"/>
    <m/>
    <m/>
    <n v="0"/>
    <n v="0"/>
    <n v="0"/>
  </r>
  <r>
    <n v="380"/>
    <s v="mergesort"/>
    <s v="condition fault"/>
    <s v="infinite loop error"/>
    <s v="all-case impact"/>
    <s v="claude-python-with_lib"/>
    <n v="1"/>
    <x v="1"/>
    <x v="2"/>
    <m/>
    <m/>
    <n v="1"/>
    <n v="1"/>
    <n v="0"/>
  </r>
  <r>
    <n v="381"/>
    <s v="minimum_spanning_tree"/>
    <s v="variable misuse fault"/>
    <s v="runtime error"/>
    <s v="all-case impact"/>
    <s v="claude-python-with_lib"/>
    <n v="1"/>
    <x v="1"/>
    <x v="2"/>
    <m/>
    <m/>
    <n v="1"/>
    <n v="1"/>
    <n v="0"/>
  </r>
  <r>
    <n v="382"/>
    <s v="next_palindrome"/>
    <s v="variable assign fault"/>
    <s v="format error"/>
    <s v="edge-case impact"/>
    <s v="claude-python-with_lib"/>
    <n v="1"/>
    <x v="1"/>
    <x v="2"/>
    <m/>
    <m/>
    <n v="1"/>
    <n v="1"/>
    <n v="0"/>
  </r>
  <r>
    <n v="383"/>
    <s v="next_permutation"/>
    <s v="condition fault"/>
    <s v="output error"/>
    <s v="all-case impact"/>
    <s v="claude-python-with_lib"/>
    <n v="1"/>
    <x v="1"/>
    <x v="2"/>
    <m/>
    <m/>
    <n v="1"/>
    <n v="1"/>
    <n v="0"/>
  </r>
  <r>
    <n v="384"/>
    <s v="pascal"/>
    <s v="indexing fault"/>
    <s v="runtime error"/>
    <s v="base-case impact"/>
    <s v="claude-python-with_lib"/>
    <n v="0"/>
    <x v="1"/>
    <x v="2"/>
    <m/>
    <m/>
    <n v="0"/>
    <n v="0"/>
    <n v="0"/>
  </r>
  <r>
    <n v="385"/>
    <s v="possible_change"/>
    <s v="condition fault"/>
    <s v="runtime error"/>
    <s v="edge-case impact"/>
    <s v="claude-python-with_lib"/>
    <n v="1"/>
    <x v="1"/>
    <x v="2"/>
    <m/>
    <m/>
    <n v="1"/>
    <n v="1"/>
    <n v="0"/>
  </r>
  <r>
    <n v="386"/>
    <s v="powerset"/>
    <s v="variable assign fault"/>
    <s v="output error"/>
    <s v="base-case impact"/>
    <s v="claude-python-with_lib"/>
    <n v="1"/>
    <x v="1"/>
    <x v="2"/>
    <m/>
    <m/>
    <n v="1"/>
    <n v="1"/>
    <n v="0"/>
  </r>
  <r>
    <n v="387"/>
    <s v="quicksort"/>
    <s v="condition fault"/>
    <s v="output error"/>
    <s v="edge-case impact"/>
    <s v="claude-python-with_lib"/>
    <n v="1"/>
    <x v="1"/>
    <x v="2"/>
    <m/>
    <m/>
    <n v="1"/>
    <n v="1"/>
    <n v="0"/>
  </r>
  <r>
    <n v="388"/>
    <s v="reverse_linked_list"/>
    <s v="variable assign missing fault"/>
    <s v="output error"/>
    <s v="all-case impact"/>
    <s v="claude-python-with_lib"/>
    <n v="1"/>
    <x v="1"/>
    <x v="2"/>
    <m/>
    <m/>
    <n v="1"/>
    <n v="1"/>
    <n v="0"/>
  </r>
  <r>
    <n v="389"/>
    <s v="rpn_eval"/>
    <s v="variable assign fault"/>
    <s v="output error"/>
    <s v="edge-case impact"/>
    <s v="claude-python-with_lib"/>
    <n v="1"/>
    <x v="1"/>
    <x v="2"/>
    <m/>
    <m/>
    <n v="1"/>
    <n v="1"/>
    <n v="0"/>
  </r>
  <r>
    <n v="390"/>
    <s v="shortest_path_length"/>
    <s v="variable assign fault"/>
    <s v="output error"/>
    <s v="base-case impact"/>
    <s v="claude-python-with_lib"/>
    <n v="1"/>
    <x v="1"/>
    <x v="2"/>
    <m/>
    <m/>
    <n v="1"/>
    <n v="1"/>
    <n v="0"/>
  </r>
  <r>
    <n v="391"/>
    <s v="shortest_path_lengths"/>
    <s v="indexing fault"/>
    <s v="output error"/>
    <s v="all-case impact"/>
    <s v="claude-python-with_lib"/>
    <n v="1"/>
    <x v="1"/>
    <x v="2"/>
    <m/>
    <m/>
    <n v="1"/>
    <n v="1"/>
    <n v="0"/>
  </r>
  <r>
    <n v="392"/>
    <s v="shortest_paths"/>
    <s v="variable misuse fault"/>
    <s v="output error"/>
    <s v="all-case impact"/>
    <s v="claude-python-with_lib"/>
    <n v="1"/>
    <x v="1"/>
    <x v="2"/>
    <m/>
    <m/>
    <n v="1"/>
    <n v="1"/>
    <n v="0"/>
  </r>
  <r>
    <n v="393"/>
    <s v="shunting_yard"/>
    <s v="variable assign missing fault"/>
    <s v="output error"/>
    <s v="base-case impact"/>
    <s v="claude-python-with_lib"/>
    <n v="1"/>
    <x v="1"/>
    <x v="2"/>
    <m/>
    <m/>
    <n v="1"/>
    <n v="1"/>
    <n v="0"/>
  </r>
  <r>
    <n v="394"/>
    <s v="sieve"/>
    <s v="condition fault"/>
    <s v="output error"/>
    <s v="base-case impact"/>
    <s v="claude-python-with_lib"/>
    <n v="1"/>
    <x v="1"/>
    <x v="2"/>
    <m/>
    <m/>
    <n v="1"/>
    <n v="1"/>
    <n v="0"/>
  </r>
  <r>
    <n v="395"/>
    <s v="sqrt"/>
    <s v="condition fault"/>
    <s v="infinite loop error"/>
    <s v="base-case impact"/>
    <s v="claude-python-with_lib"/>
    <n v="1"/>
    <x v="1"/>
    <x v="2"/>
    <m/>
    <m/>
    <n v="1"/>
    <n v="1"/>
    <n v="0"/>
  </r>
  <r>
    <n v="396"/>
    <s v="subsequences"/>
    <s v="variable assign fault"/>
    <s v="output error"/>
    <s v="edge-case impact"/>
    <s v="claude-python-with_lib"/>
    <n v="0"/>
    <x v="1"/>
    <x v="2"/>
    <m/>
    <m/>
    <n v="0"/>
    <n v="0"/>
    <n v="0"/>
  </r>
  <r>
    <n v="397"/>
    <s v="to_base"/>
    <s v="variable assign fault"/>
    <s v="output error"/>
    <s v="base-case impact"/>
    <s v="claude-python-with_lib"/>
    <n v="1"/>
    <x v="1"/>
    <x v="2"/>
    <m/>
    <m/>
    <n v="1"/>
    <n v="1"/>
    <n v="0"/>
  </r>
  <r>
    <n v="398"/>
    <s v="topological_ordering"/>
    <s v="condition fault"/>
    <s v="output error"/>
    <s v="all-case impact"/>
    <s v="claude-python-with_lib"/>
    <n v="1"/>
    <x v="1"/>
    <x v="2"/>
    <m/>
    <m/>
    <n v="1"/>
    <n v="1"/>
    <n v="0"/>
  </r>
  <r>
    <n v="399"/>
    <s v="wrap"/>
    <s v="variable assign missing fault"/>
    <s v="format error"/>
    <s v="all-case impact"/>
    <s v="claude-python-with_lib"/>
    <n v="0"/>
    <x v="1"/>
    <x v="2"/>
    <m/>
    <m/>
    <n v="0"/>
    <n v="0"/>
    <n v="0"/>
  </r>
  <r>
    <n v="400"/>
    <s v="bitcount"/>
    <s v="variable assign fault"/>
    <s v="infinite loop error"/>
    <s v="all-case impact"/>
    <s v="gpt4-python-basic"/>
    <n v="1"/>
    <x v="2"/>
    <x v="3"/>
    <m/>
    <m/>
    <n v="1"/>
    <n v="1"/>
    <n v="0"/>
  </r>
  <r>
    <n v="401"/>
    <s v="breadth_first_search"/>
    <s v="condition fault"/>
    <s v="infinite loop error"/>
    <s v="edge-case impact"/>
    <s v="gpt4-python-basic"/>
    <n v="1"/>
    <x v="2"/>
    <x v="3"/>
    <m/>
    <m/>
    <n v="1"/>
    <n v="1"/>
    <n v="0"/>
  </r>
  <r>
    <n v="402"/>
    <s v="bucketsort"/>
    <s v="variable misuse fault"/>
    <s v="output error"/>
    <s v="all-case impact"/>
    <s v="gpt4-python-basic"/>
    <n v="1"/>
    <x v="2"/>
    <x v="3"/>
    <m/>
    <m/>
    <n v="1"/>
    <n v="1"/>
    <n v="0"/>
  </r>
  <r>
    <n v="403"/>
    <s v="depth_first_search"/>
    <s v="variable misuse fault"/>
    <s v="infinite loop error"/>
    <s v="edge-case impact"/>
    <s v="gpt4-python-basic"/>
    <n v="1"/>
    <x v="2"/>
    <x v="3"/>
    <m/>
    <m/>
    <n v="1"/>
    <n v="1"/>
    <n v="0"/>
  </r>
  <r>
    <n v="404"/>
    <s v="detect_cycle"/>
    <s v="condition fault"/>
    <s v="runtime error"/>
    <s v="edge-case impact"/>
    <s v="gpt4-python-basic"/>
    <n v="1"/>
    <x v="2"/>
    <x v="3"/>
    <m/>
    <m/>
    <n v="1"/>
    <n v="1"/>
    <n v="0"/>
  </r>
  <r>
    <n v="405"/>
    <s v="find_first_in_sorted"/>
    <s v="condition fault"/>
    <s v="infinite loop error"/>
    <s v="edge-case impact"/>
    <s v="gpt4-python-basic"/>
    <n v="1"/>
    <x v="2"/>
    <x v="3"/>
    <m/>
    <m/>
    <n v="1"/>
    <n v="1"/>
    <n v="0"/>
  </r>
  <r>
    <n v="406"/>
    <s v="find_in_sorted"/>
    <s v="indexing fault"/>
    <s v="infinite loop error"/>
    <s v="edge-case impact"/>
    <s v="gpt4-python-basic"/>
    <n v="1"/>
    <x v="2"/>
    <x v="3"/>
    <m/>
    <m/>
    <n v="1"/>
    <n v="1"/>
    <n v="0"/>
  </r>
  <r>
    <n v="407"/>
    <s v="flatten"/>
    <s v="variable misuse fault"/>
    <s v="format error"/>
    <s v="base-case impact"/>
    <s v="gpt4-python-basic"/>
    <n v="1"/>
    <x v="2"/>
    <x v="3"/>
    <m/>
    <m/>
    <n v="1"/>
    <n v="1"/>
    <n v="0"/>
  </r>
  <r>
    <n v="408"/>
    <s v="gcd"/>
    <s v="variable misuse fault"/>
    <s v="infinite loop error"/>
    <s v="base-case impact"/>
    <s v="gpt4-python-basic"/>
    <n v="1"/>
    <x v="2"/>
    <x v="3"/>
    <m/>
    <m/>
    <n v="1"/>
    <n v="1"/>
    <n v="0"/>
  </r>
  <r>
    <n v="409"/>
    <s v="get_factors"/>
    <s v="variable assign fault"/>
    <s v="output error"/>
    <s v="base-case impact"/>
    <s v="gpt4-python-basic"/>
    <n v="1"/>
    <x v="2"/>
    <x v="3"/>
    <m/>
    <m/>
    <n v="1"/>
    <n v="1"/>
    <n v="0"/>
  </r>
  <r>
    <n v="410"/>
    <s v="hanoi"/>
    <s v="variable misuse fault"/>
    <s v="output error"/>
    <s v="all-case impact"/>
    <s v="gpt4-python-basic"/>
    <n v="1"/>
    <x v="2"/>
    <x v="3"/>
    <m/>
    <m/>
    <n v="1"/>
    <n v="1"/>
    <n v="0"/>
  </r>
  <r>
    <n v="411"/>
    <s v="is_valid_parenthesization"/>
    <s v="variable assign fault"/>
    <s v="output error"/>
    <s v="edge-case impact"/>
    <s v="gpt4-python-basic"/>
    <n v="1"/>
    <x v="2"/>
    <x v="3"/>
    <m/>
    <m/>
    <n v="1"/>
    <n v="1"/>
    <n v="0"/>
  </r>
  <r>
    <n v="412"/>
    <s v="kheapsort"/>
    <s v="indexing fault"/>
    <s v="output error"/>
    <s v="base-case impact"/>
    <s v="gpt4-python-basic"/>
    <n v="1"/>
    <x v="2"/>
    <x v="3"/>
    <m/>
    <m/>
    <n v="1"/>
    <n v="1"/>
    <n v="0"/>
  </r>
  <r>
    <n v="413"/>
    <s v="knapsack"/>
    <s v="condition fault"/>
    <s v="output error"/>
    <s v="edge-case impact"/>
    <s v="gpt4-python-basic"/>
    <n v="1"/>
    <x v="2"/>
    <x v="3"/>
    <m/>
    <m/>
    <n v="1"/>
    <n v="1"/>
    <n v="0"/>
  </r>
  <r>
    <n v="414"/>
    <s v="kth"/>
    <s v="variable assign fault"/>
    <s v="runtime error"/>
    <s v="base-case impact"/>
    <s v="gpt4-python-basic"/>
    <n v="1"/>
    <x v="2"/>
    <x v="3"/>
    <m/>
    <m/>
    <n v="1"/>
    <n v="1"/>
    <n v="0"/>
  </r>
  <r>
    <n v="415"/>
    <s v="lcs_length"/>
    <s v="indexing fault"/>
    <s v="output error"/>
    <s v="base-case impact"/>
    <s v="gpt4-python-basic"/>
    <n v="0"/>
    <x v="2"/>
    <x v="3"/>
    <m/>
    <m/>
    <n v="0"/>
    <n v="0"/>
    <n v="0"/>
  </r>
  <r>
    <n v="416"/>
    <s v="levenshtein"/>
    <s v="variable assign fault"/>
    <s v="output error"/>
    <s v="base-case impact"/>
    <s v="gpt4-python-basic"/>
    <n v="1"/>
    <x v="2"/>
    <x v="3"/>
    <m/>
    <m/>
    <n v="1"/>
    <n v="1"/>
    <n v="0"/>
  </r>
  <r>
    <n v="417"/>
    <s v="lis"/>
    <s v="variable assign fault"/>
    <s v="output error"/>
    <s v="base-case impact"/>
    <s v="gpt4-python-basic"/>
    <n v="1"/>
    <x v="2"/>
    <x v="3"/>
    <m/>
    <m/>
    <n v="1"/>
    <n v="1"/>
    <n v="0"/>
  </r>
  <r>
    <n v="418"/>
    <s v="longest_common_subsequence"/>
    <s v="indexing fault"/>
    <s v="output error"/>
    <s v="edge-case impact"/>
    <s v="gpt4-python-basic"/>
    <n v="1"/>
    <x v="2"/>
    <x v="3"/>
    <m/>
    <m/>
    <n v="1"/>
    <n v="1"/>
    <n v="0"/>
  </r>
  <r>
    <n v="419"/>
    <s v="max_sublist_sum"/>
    <s v="variable assign fault"/>
    <s v="output error"/>
    <s v="base-case impact"/>
    <s v="gpt4-python-basic"/>
    <n v="0"/>
    <x v="2"/>
    <x v="3"/>
    <m/>
    <m/>
    <n v="0"/>
    <n v="0"/>
    <n v="0"/>
  </r>
  <r>
    <n v="420"/>
    <s v="mergesort"/>
    <s v="condition fault"/>
    <s v="infinite loop error"/>
    <s v="all-case impact"/>
    <s v="gpt4-python-basic"/>
    <n v="1"/>
    <x v="2"/>
    <x v="3"/>
    <m/>
    <m/>
    <n v="1"/>
    <n v="1"/>
    <n v="0"/>
  </r>
  <r>
    <n v="421"/>
    <s v="minimum_spanning_tree"/>
    <s v="variable misuse fault"/>
    <s v="runtime error"/>
    <s v="all-case impact"/>
    <s v="gpt4-python-basic"/>
    <n v="1"/>
    <x v="2"/>
    <x v="3"/>
    <m/>
    <m/>
    <n v="1"/>
    <n v="1"/>
    <n v="0"/>
  </r>
  <r>
    <n v="422"/>
    <s v="next_palindrome"/>
    <s v="variable assign fault"/>
    <s v="format error"/>
    <s v="edge-case impact"/>
    <s v="gpt4-python-basic"/>
    <n v="0.33333333333333331"/>
    <x v="2"/>
    <x v="3"/>
    <m/>
    <m/>
    <n v="1"/>
    <n v="0"/>
    <n v="1"/>
  </r>
  <r>
    <n v="423"/>
    <s v="next_permutation"/>
    <s v="condition fault"/>
    <s v="output error"/>
    <s v="all-case impact"/>
    <s v="gpt4-python-basic"/>
    <n v="1"/>
    <x v="2"/>
    <x v="3"/>
    <m/>
    <m/>
    <n v="1"/>
    <n v="1"/>
    <n v="0"/>
  </r>
  <r>
    <n v="424"/>
    <s v="pascal"/>
    <s v="indexing fault"/>
    <s v="runtime error"/>
    <s v="base-case impact"/>
    <s v="gpt4-python-basic"/>
    <n v="1"/>
    <x v="2"/>
    <x v="3"/>
    <m/>
    <m/>
    <n v="1"/>
    <n v="1"/>
    <n v="0"/>
  </r>
  <r>
    <n v="425"/>
    <s v="possible_change"/>
    <s v="condition fault"/>
    <s v="runtime error"/>
    <s v="edge-case impact"/>
    <s v="gpt4-python-basic"/>
    <n v="1"/>
    <x v="2"/>
    <x v="3"/>
    <m/>
    <m/>
    <n v="1"/>
    <n v="1"/>
    <n v="0"/>
  </r>
  <r>
    <n v="426"/>
    <s v="powerset"/>
    <s v="variable assign fault"/>
    <s v="output error"/>
    <s v="base-case impact"/>
    <s v="gpt4-python-basic"/>
    <n v="1"/>
    <x v="2"/>
    <x v="3"/>
    <m/>
    <m/>
    <n v="1"/>
    <n v="1"/>
    <n v="0"/>
  </r>
  <r>
    <n v="427"/>
    <s v="quicksort"/>
    <s v="condition fault"/>
    <s v="output error"/>
    <s v="edge-case impact"/>
    <s v="gpt4-python-basic"/>
    <n v="1"/>
    <x v="2"/>
    <x v="3"/>
    <m/>
    <m/>
    <n v="1"/>
    <n v="1"/>
    <n v="0"/>
  </r>
  <r>
    <n v="428"/>
    <s v="reverse_linked_list"/>
    <s v="variable assign missing fault"/>
    <s v="output error"/>
    <s v="all-case impact"/>
    <s v="gpt4-python-basic"/>
    <n v="0"/>
    <x v="2"/>
    <x v="3"/>
    <m/>
    <m/>
    <n v="0"/>
    <n v="0"/>
    <n v="0"/>
  </r>
  <r>
    <n v="429"/>
    <s v="rpn_eval"/>
    <s v="variable assign fault"/>
    <s v="output error"/>
    <s v="edge-case impact"/>
    <s v="gpt4-python-basic"/>
    <n v="1"/>
    <x v="2"/>
    <x v="3"/>
    <m/>
    <m/>
    <n v="1"/>
    <n v="1"/>
    <n v="0"/>
  </r>
  <r>
    <n v="430"/>
    <s v="shortest_path_length"/>
    <s v="variable assign fault"/>
    <s v="output error"/>
    <s v="base-case impact"/>
    <s v="gpt4-python-basic"/>
    <n v="0"/>
    <x v="2"/>
    <x v="3"/>
    <m/>
    <m/>
    <n v="0"/>
    <n v="0"/>
    <n v="0"/>
  </r>
  <r>
    <n v="431"/>
    <s v="shortest_path_lengths"/>
    <s v="indexing fault"/>
    <s v="output error"/>
    <s v="all-case impact"/>
    <s v="gpt4-python-basic"/>
    <n v="1"/>
    <x v="2"/>
    <x v="3"/>
    <m/>
    <m/>
    <n v="1"/>
    <n v="1"/>
    <n v="0"/>
  </r>
  <r>
    <n v="432"/>
    <s v="shortest_paths"/>
    <s v="variable misuse fault"/>
    <s v="output error"/>
    <s v="all-case impact"/>
    <s v="gpt4-python-basic"/>
    <n v="1"/>
    <x v="2"/>
    <x v="3"/>
    <m/>
    <m/>
    <n v="1"/>
    <n v="1"/>
    <n v="0"/>
  </r>
  <r>
    <n v="433"/>
    <s v="shunting_yard"/>
    <s v="variable assign missing fault"/>
    <s v="output error"/>
    <s v="base-case impact"/>
    <s v="gpt4-python-basic"/>
    <n v="1"/>
    <x v="2"/>
    <x v="3"/>
    <m/>
    <m/>
    <n v="1"/>
    <n v="1"/>
    <n v="0"/>
  </r>
  <r>
    <n v="434"/>
    <s v="sieve"/>
    <s v="condition fault"/>
    <s v="output error"/>
    <s v="base-case impact"/>
    <s v="gpt4-python-basic"/>
    <n v="1"/>
    <x v="2"/>
    <x v="3"/>
    <m/>
    <m/>
    <n v="1"/>
    <n v="1"/>
    <n v="0"/>
  </r>
  <r>
    <n v="435"/>
    <s v="sqrt"/>
    <s v="condition fault"/>
    <s v="infinite loop error"/>
    <s v="base-case impact"/>
    <s v="gpt4-python-basic"/>
    <n v="1"/>
    <x v="2"/>
    <x v="3"/>
    <m/>
    <m/>
    <n v="1"/>
    <n v="1"/>
    <n v="0"/>
  </r>
  <r>
    <n v="436"/>
    <s v="subsequences"/>
    <s v="variable assign fault"/>
    <s v="output error"/>
    <s v="edge-case impact"/>
    <s v="gpt4-python-basic"/>
    <n v="0"/>
    <x v="2"/>
    <x v="3"/>
    <m/>
    <m/>
    <n v="0"/>
    <n v="0"/>
    <n v="0"/>
  </r>
  <r>
    <n v="437"/>
    <s v="to_base"/>
    <s v="variable assign fault"/>
    <s v="output error"/>
    <s v="base-case impact"/>
    <s v="gpt4-python-basic"/>
    <n v="1"/>
    <x v="2"/>
    <x v="3"/>
    <m/>
    <m/>
    <n v="1"/>
    <n v="1"/>
    <n v="0"/>
  </r>
  <r>
    <n v="438"/>
    <s v="topological_ordering"/>
    <s v="condition fault"/>
    <s v="output error"/>
    <s v="all-case impact"/>
    <s v="gpt4-python-basic"/>
    <n v="1"/>
    <x v="2"/>
    <x v="3"/>
    <m/>
    <m/>
    <n v="1"/>
    <n v="1"/>
    <n v="0"/>
  </r>
  <r>
    <n v="439"/>
    <s v="wrap"/>
    <s v="variable assign missing fault"/>
    <s v="format error"/>
    <s v="all-case impact"/>
    <s v="gpt4-python-basic"/>
    <n v="0"/>
    <x v="2"/>
    <x v="3"/>
    <m/>
    <m/>
    <n v="0"/>
    <n v="0"/>
    <n v="0"/>
  </r>
  <r>
    <n v="440"/>
    <s v="bitcount"/>
    <s v="variable assign fault"/>
    <s v="infinite loop error"/>
    <s v="all-case impact"/>
    <s v="gemini-python-basic"/>
    <n v="1"/>
    <x v="2"/>
    <x v="0"/>
    <m/>
    <m/>
    <n v="1"/>
    <n v="1"/>
    <n v="0"/>
  </r>
  <r>
    <n v="441"/>
    <s v="breadth_first_search"/>
    <s v="condition fault"/>
    <s v="infinite loop error"/>
    <s v="edge-case impact"/>
    <s v="gemini-python-basic"/>
    <n v="1"/>
    <x v="2"/>
    <x v="0"/>
    <m/>
    <m/>
    <n v="1"/>
    <n v="1"/>
    <n v="0"/>
  </r>
  <r>
    <n v="442"/>
    <s v="bucketsort"/>
    <s v="variable misuse fault"/>
    <s v="output error"/>
    <s v="all-case impact"/>
    <s v="gemini-python-basic"/>
    <n v="1"/>
    <x v="2"/>
    <x v="0"/>
    <m/>
    <m/>
    <n v="1"/>
    <n v="1"/>
    <n v="0"/>
  </r>
  <r>
    <n v="443"/>
    <s v="depth_first_search"/>
    <s v="variable misuse fault"/>
    <s v="infinite loop error"/>
    <s v="edge-case impact"/>
    <s v="gemini-python-basic"/>
    <n v="0.66666666666666663"/>
    <x v="2"/>
    <x v="0"/>
    <m/>
    <m/>
    <n v="1"/>
    <n v="0"/>
    <n v="1"/>
  </r>
  <r>
    <n v="444"/>
    <s v="detect_cycle"/>
    <s v="condition fault"/>
    <s v="runtime error"/>
    <s v="edge-case impact"/>
    <s v="gemini-python-basic"/>
    <n v="1"/>
    <x v="2"/>
    <x v="0"/>
    <m/>
    <m/>
    <n v="1"/>
    <n v="1"/>
    <n v="0"/>
  </r>
  <r>
    <n v="445"/>
    <s v="find_first_in_sorted"/>
    <s v="condition fault"/>
    <s v="infinite loop error"/>
    <s v="edge-case impact"/>
    <s v="gemini-python-basic"/>
    <n v="0.66666666666666663"/>
    <x v="2"/>
    <x v="0"/>
    <m/>
    <m/>
    <n v="1"/>
    <n v="0"/>
    <n v="1"/>
  </r>
  <r>
    <n v="446"/>
    <s v="find_in_sorted"/>
    <s v="indexing fault"/>
    <s v="infinite loop error"/>
    <s v="edge-case impact"/>
    <s v="gemini-python-basic"/>
    <n v="1"/>
    <x v="2"/>
    <x v="0"/>
    <m/>
    <m/>
    <n v="1"/>
    <n v="1"/>
    <n v="0"/>
  </r>
  <r>
    <n v="447"/>
    <s v="flatten"/>
    <s v="variable misuse fault"/>
    <s v="format error"/>
    <s v="base-case impact"/>
    <s v="gemini-python-basic"/>
    <n v="1"/>
    <x v="2"/>
    <x v="0"/>
    <m/>
    <m/>
    <n v="1"/>
    <n v="1"/>
    <n v="0"/>
  </r>
  <r>
    <n v="448"/>
    <s v="gcd"/>
    <s v="variable misuse fault"/>
    <s v="infinite loop error"/>
    <s v="base-case impact"/>
    <s v="gemini-python-basic"/>
    <n v="1"/>
    <x v="2"/>
    <x v="0"/>
    <m/>
    <m/>
    <n v="1"/>
    <n v="1"/>
    <n v="0"/>
  </r>
  <r>
    <n v="449"/>
    <s v="get_factors"/>
    <s v="variable assign fault"/>
    <s v="output error"/>
    <s v="base-case impact"/>
    <s v="gemini-python-basic"/>
    <n v="0"/>
    <x v="2"/>
    <x v="0"/>
    <m/>
    <m/>
    <n v="0"/>
    <n v="0"/>
    <n v="0"/>
  </r>
  <r>
    <n v="450"/>
    <s v="hanoi"/>
    <s v="variable misuse fault"/>
    <s v="output error"/>
    <s v="all-case impact"/>
    <s v="gemini-python-basic"/>
    <n v="1"/>
    <x v="2"/>
    <x v="0"/>
    <m/>
    <m/>
    <n v="1"/>
    <n v="1"/>
    <n v="0"/>
  </r>
  <r>
    <n v="451"/>
    <s v="is_valid_parenthesization"/>
    <s v="variable assign fault"/>
    <s v="output error"/>
    <s v="edge-case impact"/>
    <s v="gemini-python-basic"/>
    <n v="1"/>
    <x v="2"/>
    <x v="0"/>
    <m/>
    <m/>
    <n v="1"/>
    <n v="1"/>
    <n v="0"/>
  </r>
  <r>
    <n v="452"/>
    <s v="kheapsort"/>
    <s v="indexing fault"/>
    <s v="output error"/>
    <s v="base-case impact"/>
    <s v="gemini-python-basic"/>
    <n v="0.66666666666666663"/>
    <x v="2"/>
    <x v="0"/>
    <m/>
    <m/>
    <n v="1"/>
    <n v="0"/>
    <n v="1"/>
  </r>
  <r>
    <n v="453"/>
    <s v="knapsack"/>
    <s v="condition fault"/>
    <s v="output error"/>
    <s v="edge-case impact"/>
    <s v="gemini-python-basic"/>
    <n v="0.66666666666666663"/>
    <x v="2"/>
    <x v="0"/>
    <m/>
    <m/>
    <n v="1"/>
    <n v="0"/>
    <n v="1"/>
  </r>
  <r>
    <n v="454"/>
    <s v="kth"/>
    <s v="variable assign fault"/>
    <s v="runtime error"/>
    <s v="base-case impact"/>
    <s v="gemini-python-basic"/>
    <n v="0.33333333333333331"/>
    <x v="2"/>
    <x v="0"/>
    <m/>
    <m/>
    <n v="1"/>
    <n v="0"/>
    <n v="1"/>
  </r>
  <r>
    <n v="455"/>
    <s v="lcs_length"/>
    <s v="indexing fault"/>
    <s v="output error"/>
    <s v="base-case impact"/>
    <s v="gemini-python-basic"/>
    <n v="0.33333333333333331"/>
    <x v="2"/>
    <x v="0"/>
    <m/>
    <m/>
    <n v="1"/>
    <n v="0"/>
    <n v="1"/>
  </r>
  <r>
    <n v="456"/>
    <s v="levenshtein"/>
    <s v="variable assign fault"/>
    <s v="output error"/>
    <s v="base-case impact"/>
    <s v="gemini-python-basic"/>
    <n v="0"/>
    <x v="2"/>
    <x v="0"/>
    <m/>
    <m/>
    <n v="0"/>
    <n v="0"/>
    <n v="0"/>
  </r>
  <r>
    <n v="457"/>
    <s v="lis"/>
    <s v="variable assign fault"/>
    <s v="output error"/>
    <s v="base-case impact"/>
    <s v="gemini-python-basic"/>
    <n v="0"/>
    <x v="2"/>
    <x v="0"/>
    <m/>
    <m/>
    <n v="0"/>
    <n v="0"/>
    <n v="0"/>
  </r>
  <r>
    <n v="458"/>
    <s v="longest_common_subsequence"/>
    <s v="indexing fault"/>
    <s v="output error"/>
    <s v="edge-case impact"/>
    <s v="gemini-python-basic"/>
    <n v="1"/>
    <x v="2"/>
    <x v="0"/>
    <m/>
    <m/>
    <n v="1"/>
    <n v="1"/>
    <n v="0"/>
  </r>
  <r>
    <n v="459"/>
    <s v="max_sublist_sum"/>
    <s v="variable assign fault"/>
    <s v="output error"/>
    <s v="base-case impact"/>
    <s v="gemini-python-basic"/>
    <n v="0.33333333333333331"/>
    <x v="2"/>
    <x v="0"/>
    <m/>
    <m/>
    <n v="1"/>
    <n v="0"/>
    <n v="1"/>
  </r>
  <r>
    <n v="460"/>
    <s v="mergesort"/>
    <s v="condition fault"/>
    <s v="infinite loop error"/>
    <s v="all-case impact"/>
    <s v="gemini-python-basic"/>
    <n v="1"/>
    <x v="2"/>
    <x v="0"/>
    <m/>
    <m/>
    <n v="1"/>
    <n v="1"/>
    <n v="0"/>
  </r>
  <r>
    <n v="461"/>
    <s v="minimum_spanning_tree"/>
    <s v="variable misuse fault"/>
    <s v="runtime error"/>
    <s v="all-case impact"/>
    <s v="gemini-python-basic"/>
    <n v="0"/>
    <x v="2"/>
    <x v="0"/>
    <m/>
    <m/>
    <n v="0"/>
    <n v="0"/>
    <n v="0"/>
  </r>
  <r>
    <n v="462"/>
    <s v="next_palindrome"/>
    <s v="variable assign fault"/>
    <s v="format error"/>
    <s v="edge-case impact"/>
    <s v="gemini-python-basic"/>
    <n v="0"/>
    <x v="2"/>
    <x v="0"/>
    <m/>
    <m/>
    <n v="0"/>
    <n v="0"/>
    <n v="0"/>
  </r>
  <r>
    <n v="463"/>
    <s v="next_permutation"/>
    <s v="condition fault"/>
    <s v="output error"/>
    <s v="all-case impact"/>
    <s v="gemini-python-basic"/>
    <n v="1"/>
    <x v="2"/>
    <x v="0"/>
    <m/>
    <m/>
    <n v="1"/>
    <n v="1"/>
    <n v="0"/>
  </r>
  <r>
    <n v="464"/>
    <s v="pascal"/>
    <s v="indexing fault"/>
    <s v="runtime error"/>
    <s v="base-case impact"/>
    <s v="gemini-python-basic"/>
    <n v="1"/>
    <x v="2"/>
    <x v="0"/>
    <m/>
    <m/>
    <n v="1"/>
    <n v="1"/>
    <n v="0"/>
  </r>
  <r>
    <n v="465"/>
    <s v="possible_change"/>
    <s v="condition fault"/>
    <s v="runtime error"/>
    <s v="edge-case impact"/>
    <s v="gemini-python-basic"/>
    <n v="0.66666666666666663"/>
    <x v="2"/>
    <x v="0"/>
    <m/>
    <m/>
    <n v="1"/>
    <n v="0"/>
    <n v="1"/>
  </r>
  <r>
    <n v="466"/>
    <s v="powerset"/>
    <s v="variable assign fault"/>
    <s v="output error"/>
    <s v="base-case impact"/>
    <s v="gemini-python-basic"/>
    <n v="1"/>
    <x v="2"/>
    <x v="0"/>
    <m/>
    <m/>
    <n v="1"/>
    <n v="1"/>
    <n v="0"/>
  </r>
  <r>
    <n v="467"/>
    <s v="quicksort"/>
    <s v="condition fault"/>
    <s v="output error"/>
    <s v="edge-case impact"/>
    <s v="gemini-python-basic"/>
    <n v="0.66666666666666663"/>
    <x v="2"/>
    <x v="0"/>
    <m/>
    <m/>
    <n v="1"/>
    <n v="0"/>
    <n v="1"/>
  </r>
  <r>
    <n v="468"/>
    <s v="reverse_linked_list"/>
    <s v="variable assign missing fault"/>
    <s v="output error"/>
    <s v="all-case impact"/>
    <s v="gemini-python-basic"/>
    <n v="0"/>
    <x v="2"/>
    <x v="0"/>
    <m/>
    <m/>
    <n v="0"/>
    <n v="0"/>
    <n v="0"/>
  </r>
  <r>
    <n v="469"/>
    <s v="rpn_eval"/>
    <s v="variable assign fault"/>
    <s v="output error"/>
    <s v="edge-case impact"/>
    <s v="gemini-python-basic"/>
    <n v="0"/>
    <x v="2"/>
    <x v="0"/>
    <m/>
    <m/>
    <n v="0"/>
    <n v="0"/>
    <n v="0"/>
  </r>
  <r>
    <n v="470"/>
    <s v="shortest_path_length"/>
    <s v="variable assign fault"/>
    <s v="output error"/>
    <s v="base-case impact"/>
    <s v="gemini-python-basic"/>
    <n v="0"/>
    <x v="2"/>
    <x v="0"/>
    <m/>
    <m/>
    <n v="0"/>
    <n v="0"/>
    <n v="0"/>
  </r>
  <r>
    <n v="471"/>
    <s v="shortest_path_lengths"/>
    <s v="indexing fault"/>
    <s v="output error"/>
    <s v="all-case impact"/>
    <s v="gemini-python-basic"/>
    <n v="0.33333333333333331"/>
    <x v="2"/>
    <x v="0"/>
    <m/>
    <m/>
    <n v="1"/>
    <n v="0"/>
    <n v="1"/>
  </r>
  <r>
    <n v="472"/>
    <s v="shortest_paths"/>
    <s v="variable misuse fault"/>
    <s v="output error"/>
    <s v="all-case impact"/>
    <s v="gemini-python-basic"/>
    <n v="1"/>
    <x v="2"/>
    <x v="0"/>
    <m/>
    <m/>
    <n v="1"/>
    <n v="1"/>
    <n v="0"/>
  </r>
  <r>
    <n v="473"/>
    <s v="shunting_yard"/>
    <s v="variable assign missing fault"/>
    <s v="output error"/>
    <s v="base-case impact"/>
    <s v="gemini-python-basic"/>
    <n v="1"/>
    <x v="2"/>
    <x v="0"/>
    <m/>
    <m/>
    <n v="1"/>
    <n v="1"/>
    <n v="0"/>
  </r>
  <r>
    <n v="474"/>
    <s v="sieve"/>
    <s v="condition fault"/>
    <s v="output error"/>
    <s v="base-case impact"/>
    <s v="gemini-python-basic"/>
    <n v="1"/>
    <x v="2"/>
    <x v="0"/>
    <m/>
    <m/>
    <n v="1"/>
    <n v="1"/>
    <n v="0"/>
  </r>
  <r>
    <n v="475"/>
    <s v="sqrt"/>
    <s v="condition fault"/>
    <s v="infinite loop error"/>
    <s v="base-case impact"/>
    <s v="gemini-python-basic"/>
    <n v="1"/>
    <x v="2"/>
    <x v="0"/>
    <m/>
    <m/>
    <n v="1"/>
    <n v="1"/>
    <n v="0"/>
  </r>
  <r>
    <n v="476"/>
    <s v="subsequences"/>
    <s v="variable assign fault"/>
    <s v="output error"/>
    <s v="edge-case impact"/>
    <s v="gemini-python-basic"/>
    <n v="0"/>
    <x v="2"/>
    <x v="0"/>
    <m/>
    <m/>
    <n v="0"/>
    <n v="0"/>
    <n v="0"/>
  </r>
  <r>
    <n v="477"/>
    <s v="to_base"/>
    <s v="variable assign fault"/>
    <s v="output error"/>
    <s v="base-case impact"/>
    <s v="gemini-python-basic"/>
    <n v="1"/>
    <x v="2"/>
    <x v="0"/>
    <m/>
    <m/>
    <n v="1"/>
    <n v="1"/>
    <n v="0"/>
  </r>
  <r>
    <n v="478"/>
    <s v="topological_ordering"/>
    <s v="condition fault"/>
    <s v="output error"/>
    <s v="all-case impact"/>
    <s v="gemini-python-basic"/>
    <n v="0.33333333333333331"/>
    <x v="2"/>
    <x v="0"/>
    <m/>
    <m/>
    <n v="1"/>
    <n v="0"/>
    <n v="1"/>
  </r>
  <r>
    <n v="479"/>
    <s v="wrap"/>
    <s v="variable assign missing fault"/>
    <s v="format error"/>
    <s v="all-case impact"/>
    <s v="gemini-python-basic"/>
    <n v="0"/>
    <x v="2"/>
    <x v="0"/>
    <m/>
    <m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0"/>
    <s v="bitcount"/>
    <s v="variable assign fault"/>
    <s v="infinite loop error"/>
    <s v="all-case impact"/>
    <s v="gemini-python-with_location"/>
    <n v="1"/>
    <x v="0"/>
    <x v="0"/>
    <n v="1"/>
    <n v="1"/>
    <n v="0"/>
  </r>
  <r>
    <n v="1"/>
    <s v="breadth_first_search"/>
    <s v="condition fault"/>
    <s v="infinite loop error"/>
    <s v="edge-case impact"/>
    <s v="gemini-python-with_location"/>
    <n v="0.66666666666666663"/>
    <x v="0"/>
    <x v="0"/>
    <n v="1"/>
    <n v="0"/>
    <n v="1"/>
  </r>
  <r>
    <n v="2"/>
    <s v="bucketsort"/>
    <s v="variable misuse fault"/>
    <s v="output error"/>
    <s v="all-case impact"/>
    <s v="gemini-python-with_location"/>
    <n v="1"/>
    <x v="0"/>
    <x v="0"/>
    <n v="1"/>
    <n v="1"/>
    <n v="0"/>
  </r>
  <r>
    <n v="3"/>
    <s v="depth_first_search"/>
    <s v="variable misuse fault"/>
    <s v="infinite loop error"/>
    <s v="edge-case impact"/>
    <s v="gemini-python-with_location"/>
    <n v="1"/>
    <x v="0"/>
    <x v="0"/>
    <n v="1"/>
    <n v="1"/>
    <n v="0"/>
  </r>
  <r>
    <n v="4"/>
    <s v="detect_cycle"/>
    <s v="condition fault"/>
    <s v="runtime error"/>
    <s v="edge-case impact"/>
    <s v="gemini-python-with_location"/>
    <n v="1"/>
    <x v="0"/>
    <x v="0"/>
    <n v="1"/>
    <n v="1"/>
    <n v="0"/>
  </r>
  <r>
    <n v="5"/>
    <s v="find_first_in_sorted"/>
    <s v="condition fault"/>
    <s v="infinite loop error"/>
    <s v="edge-case impact"/>
    <s v="gemini-python-with_location"/>
    <n v="1"/>
    <x v="0"/>
    <x v="0"/>
    <n v="1"/>
    <n v="1"/>
    <n v="0"/>
  </r>
  <r>
    <n v="6"/>
    <s v="find_in_sorted"/>
    <s v="indexing fault"/>
    <s v="infinite loop error"/>
    <s v="edge-case impact"/>
    <s v="gemini-python-with_location"/>
    <n v="1"/>
    <x v="0"/>
    <x v="0"/>
    <n v="1"/>
    <n v="1"/>
    <n v="0"/>
  </r>
  <r>
    <n v="7"/>
    <s v="flatten"/>
    <s v="variable misuse fault"/>
    <s v="format error"/>
    <s v="base-case impact"/>
    <s v="gemini-python-with_location"/>
    <n v="1"/>
    <x v="0"/>
    <x v="0"/>
    <n v="1"/>
    <n v="1"/>
    <n v="0"/>
  </r>
  <r>
    <n v="8"/>
    <s v="gcd"/>
    <s v="variable misuse fault"/>
    <s v="infinite loop error"/>
    <s v="base-case impact"/>
    <s v="gemini-python-with_location"/>
    <n v="1"/>
    <x v="0"/>
    <x v="0"/>
    <n v="1"/>
    <n v="1"/>
    <n v="0"/>
  </r>
  <r>
    <n v="9"/>
    <s v="get_factors"/>
    <s v="variable assign fault"/>
    <s v="output error"/>
    <s v="base-case impact"/>
    <s v="gemini-python-with_location"/>
    <n v="1"/>
    <x v="0"/>
    <x v="0"/>
    <n v="1"/>
    <n v="1"/>
    <n v="0"/>
  </r>
  <r>
    <n v="10"/>
    <s v="hanoi"/>
    <s v="variable misuse fault"/>
    <s v="output error"/>
    <s v="all-case impact"/>
    <s v="gemini-python-with_location"/>
    <n v="1"/>
    <x v="0"/>
    <x v="0"/>
    <n v="1"/>
    <n v="1"/>
    <n v="0"/>
  </r>
  <r>
    <n v="11"/>
    <s v="is_valid_parenthesization"/>
    <s v="variable assign fault"/>
    <s v="output error"/>
    <s v="edge-case impact"/>
    <s v="gemini-python-with_location"/>
    <n v="1"/>
    <x v="0"/>
    <x v="0"/>
    <n v="1"/>
    <n v="1"/>
    <n v="0"/>
  </r>
  <r>
    <n v="12"/>
    <s v="kheapsort"/>
    <s v="indexing fault"/>
    <s v="output error"/>
    <s v="base-case impact"/>
    <s v="gemini-python-with_location"/>
    <n v="1"/>
    <x v="0"/>
    <x v="0"/>
    <n v="1"/>
    <n v="1"/>
    <n v="0"/>
  </r>
  <r>
    <n v="13"/>
    <s v="knapsack"/>
    <s v="condition fault"/>
    <s v="output error"/>
    <s v="edge-case impact"/>
    <s v="gemini-python-with_location"/>
    <n v="0"/>
    <x v="0"/>
    <x v="0"/>
    <n v="0"/>
    <n v="0"/>
    <n v="0"/>
  </r>
  <r>
    <n v="14"/>
    <s v="kth"/>
    <s v="variable assign fault"/>
    <s v="runtime error"/>
    <s v="base-case impact"/>
    <s v="gemini-python-with_location"/>
    <n v="0.66666666666666663"/>
    <x v="0"/>
    <x v="0"/>
    <n v="1"/>
    <n v="0"/>
    <n v="1"/>
  </r>
  <r>
    <n v="15"/>
    <s v="lcs_length"/>
    <s v="indexing fault"/>
    <s v="output error"/>
    <s v="base-case impact"/>
    <s v="gemini-python-with_location"/>
    <n v="1"/>
    <x v="0"/>
    <x v="0"/>
    <n v="1"/>
    <n v="1"/>
    <n v="0"/>
  </r>
  <r>
    <n v="16"/>
    <s v="levenshtein"/>
    <s v="variable assign fault"/>
    <s v="output error"/>
    <s v="base-case impact"/>
    <s v="gemini-python-with_location"/>
    <n v="1"/>
    <x v="0"/>
    <x v="0"/>
    <n v="1"/>
    <n v="1"/>
    <n v="0"/>
  </r>
  <r>
    <n v="17"/>
    <s v="lis"/>
    <s v="variable assign fault"/>
    <s v="output error"/>
    <s v="base-case impact"/>
    <s v="gemini-python-with_location"/>
    <n v="0.66666666666666663"/>
    <x v="0"/>
    <x v="0"/>
    <n v="1"/>
    <n v="0"/>
    <n v="1"/>
  </r>
  <r>
    <n v="18"/>
    <s v="longest_common_subsequence"/>
    <s v="indexing fault"/>
    <s v="output error"/>
    <s v="edge-case impact"/>
    <s v="gemini-python-with_location"/>
    <n v="1"/>
    <x v="0"/>
    <x v="0"/>
    <n v="1"/>
    <n v="1"/>
    <n v="0"/>
  </r>
  <r>
    <n v="19"/>
    <s v="max_sublist_sum"/>
    <s v="variable assign fault"/>
    <s v="output error"/>
    <s v="base-case impact"/>
    <s v="gemini-python-with_location"/>
    <n v="0.33333333333333331"/>
    <x v="0"/>
    <x v="0"/>
    <n v="1"/>
    <n v="0"/>
    <n v="1"/>
  </r>
  <r>
    <n v="20"/>
    <s v="mergesort"/>
    <s v="condition fault"/>
    <s v="infinite loop error"/>
    <s v="all-case impact"/>
    <s v="gemini-python-with_location"/>
    <n v="1"/>
    <x v="0"/>
    <x v="0"/>
    <n v="1"/>
    <n v="1"/>
    <n v="0"/>
  </r>
  <r>
    <n v="21"/>
    <s v="minimum_spanning_tree"/>
    <s v="variable misuse fault"/>
    <s v="runtime error"/>
    <s v="all-case impact"/>
    <s v="gemini-python-with_location"/>
    <n v="0"/>
    <x v="0"/>
    <x v="0"/>
    <n v="0"/>
    <n v="0"/>
    <n v="0"/>
  </r>
  <r>
    <n v="22"/>
    <s v="next_palindrome"/>
    <s v="variable assign fault"/>
    <s v="format error"/>
    <s v="edge-case impact"/>
    <s v="gemini-python-with_location"/>
    <n v="0"/>
    <x v="0"/>
    <x v="0"/>
    <n v="0"/>
    <n v="0"/>
    <n v="0"/>
  </r>
  <r>
    <n v="23"/>
    <s v="next_permutation"/>
    <s v="condition fault"/>
    <s v="output error"/>
    <s v="all-case impact"/>
    <s v="gemini-python-with_location"/>
    <n v="1"/>
    <x v="0"/>
    <x v="0"/>
    <n v="1"/>
    <n v="1"/>
    <n v="0"/>
  </r>
  <r>
    <n v="24"/>
    <s v="pascal"/>
    <s v="indexing fault"/>
    <s v="runtime error"/>
    <s v="base-case impact"/>
    <s v="gemini-python-with_location"/>
    <n v="1"/>
    <x v="0"/>
    <x v="0"/>
    <n v="1"/>
    <n v="1"/>
    <n v="0"/>
  </r>
  <r>
    <n v="25"/>
    <s v="possible_change"/>
    <s v="condition fault"/>
    <s v="runtime error"/>
    <s v="edge-case impact"/>
    <s v="gemini-python-with_location"/>
    <n v="1"/>
    <x v="0"/>
    <x v="0"/>
    <n v="1"/>
    <n v="1"/>
    <n v="0"/>
  </r>
  <r>
    <n v="26"/>
    <s v="powerset"/>
    <s v="variable assign fault"/>
    <s v="output error"/>
    <s v="base-case impact"/>
    <s v="gemini-python-with_location"/>
    <n v="1"/>
    <x v="0"/>
    <x v="0"/>
    <n v="1"/>
    <n v="1"/>
    <n v="0"/>
  </r>
  <r>
    <n v="27"/>
    <s v="quicksort"/>
    <s v="condition fault"/>
    <s v="output error"/>
    <s v="edge-case impact"/>
    <s v="gemini-python-with_location"/>
    <n v="1"/>
    <x v="0"/>
    <x v="0"/>
    <n v="1"/>
    <n v="1"/>
    <n v="0"/>
  </r>
  <r>
    <n v="28"/>
    <s v="reverse_linked_list"/>
    <s v="variable assign missing fault"/>
    <s v="output error"/>
    <s v="all-case impact"/>
    <s v="gemini-python-with_location"/>
    <n v="1"/>
    <x v="0"/>
    <x v="0"/>
    <n v="1"/>
    <n v="1"/>
    <n v="0"/>
  </r>
  <r>
    <n v="29"/>
    <s v="rpn_eval"/>
    <s v="variable assign fault"/>
    <s v="output error"/>
    <s v="edge-case impact"/>
    <s v="gemini-python-with_location"/>
    <n v="0.66666666666666663"/>
    <x v="0"/>
    <x v="0"/>
    <n v="1"/>
    <n v="0"/>
    <n v="1"/>
  </r>
  <r>
    <n v="30"/>
    <s v="shortest_path_length"/>
    <s v="variable assign fault"/>
    <s v="output error"/>
    <s v="base-case impact"/>
    <s v="gemini-python-with_location"/>
    <n v="0.66666666666666663"/>
    <x v="0"/>
    <x v="0"/>
    <n v="1"/>
    <n v="0"/>
    <n v="1"/>
  </r>
  <r>
    <n v="31"/>
    <s v="shortest_path_lengths"/>
    <s v="indexing fault"/>
    <s v="output error"/>
    <s v="all-case impact"/>
    <s v="gemini-python-with_location"/>
    <n v="1"/>
    <x v="0"/>
    <x v="0"/>
    <n v="1"/>
    <n v="1"/>
    <n v="0"/>
  </r>
  <r>
    <n v="32"/>
    <s v="shortest_paths"/>
    <s v="variable misuse fault"/>
    <s v="output error"/>
    <s v="all-case impact"/>
    <s v="gemini-python-with_location"/>
    <n v="0.66666666666666663"/>
    <x v="0"/>
    <x v="0"/>
    <n v="1"/>
    <n v="0"/>
    <n v="1"/>
  </r>
  <r>
    <n v="33"/>
    <s v="shunting_yard"/>
    <s v="variable assign missing fault"/>
    <s v="output error"/>
    <s v="base-case impact"/>
    <s v="gemini-python-with_location"/>
    <n v="0.66666666666666663"/>
    <x v="0"/>
    <x v="0"/>
    <n v="1"/>
    <n v="0"/>
    <n v="1"/>
  </r>
  <r>
    <n v="34"/>
    <s v="sieve"/>
    <s v="condition fault"/>
    <s v="output error"/>
    <s v="base-case impact"/>
    <s v="gemini-python-with_location"/>
    <n v="1"/>
    <x v="0"/>
    <x v="0"/>
    <n v="1"/>
    <n v="1"/>
    <n v="0"/>
  </r>
  <r>
    <n v="35"/>
    <s v="sqrt"/>
    <s v="condition fault"/>
    <s v="infinite loop error"/>
    <s v="base-case impact"/>
    <s v="gemini-python-with_location"/>
    <n v="1"/>
    <x v="0"/>
    <x v="0"/>
    <n v="1"/>
    <n v="1"/>
    <n v="0"/>
  </r>
  <r>
    <n v="36"/>
    <s v="subsequences"/>
    <s v="variable assign fault"/>
    <s v="output error"/>
    <s v="edge-case impact"/>
    <s v="gemini-python-with_location"/>
    <n v="1"/>
    <x v="0"/>
    <x v="0"/>
    <n v="1"/>
    <n v="1"/>
    <n v="0"/>
  </r>
  <r>
    <n v="37"/>
    <s v="to_base"/>
    <s v="variable assign fault"/>
    <s v="output error"/>
    <s v="base-case impact"/>
    <s v="gemini-python-with_location"/>
    <n v="1"/>
    <x v="0"/>
    <x v="0"/>
    <n v="1"/>
    <n v="1"/>
    <n v="0"/>
  </r>
  <r>
    <n v="38"/>
    <s v="topological_ordering"/>
    <s v="condition fault"/>
    <s v="output error"/>
    <s v="all-case impact"/>
    <s v="gemini-python-with_location"/>
    <n v="0.33333333333333331"/>
    <x v="0"/>
    <x v="0"/>
    <n v="1"/>
    <n v="0"/>
    <n v="1"/>
  </r>
  <r>
    <n v="39"/>
    <s v="wrap"/>
    <s v="variable assign missing fault"/>
    <s v="format error"/>
    <s v="all-case impact"/>
    <s v="gemini-python-with_location"/>
    <n v="1"/>
    <x v="0"/>
    <x v="0"/>
    <n v="1"/>
    <n v="1"/>
    <n v="0"/>
  </r>
  <r>
    <n v="40"/>
    <s v="bitcount"/>
    <s v="variable assign fault"/>
    <s v="infinite loop error"/>
    <s v="all-case impact"/>
    <s v="gpt35-python-with_lib"/>
    <n v="1"/>
    <x v="1"/>
    <x v="1"/>
    <n v="1"/>
    <n v="1"/>
    <n v="0"/>
  </r>
  <r>
    <n v="41"/>
    <s v="breadth_first_search"/>
    <s v="condition fault"/>
    <s v="infinite loop error"/>
    <s v="edge-case impact"/>
    <s v="gpt35-python-with_lib"/>
    <n v="1"/>
    <x v="1"/>
    <x v="1"/>
    <n v="1"/>
    <n v="1"/>
    <n v="0"/>
  </r>
  <r>
    <n v="42"/>
    <s v="bucketsort"/>
    <s v="variable misuse fault"/>
    <s v="output error"/>
    <s v="all-case impact"/>
    <s v="gpt35-python-with_lib"/>
    <n v="1"/>
    <x v="1"/>
    <x v="1"/>
    <n v="1"/>
    <n v="1"/>
    <n v="0"/>
  </r>
  <r>
    <n v="43"/>
    <s v="depth_first_search"/>
    <s v="variable misuse fault"/>
    <s v="infinite loop error"/>
    <s v="edge-case impact"/>
    <s v="gpt35-python-with_lib"/>
    <n v="1"/>
    <x v="1"/>
    <x v="1"/>
    <n v="1"/>
    <n v="1"/>
    <n v="0"/>
  </r>
  <r>
    <n v="44"/>
    <s v="detect_cycle"/>
    <s v="condition fault"/>
    <s v="runtime error"/>
    <s v="edge-case impact"/>
    <s v="gpt35-python-with_lib"/>
    <n v="1"/>
    <x v="1"/>
    <x v="1"/>
    <n v="1"/>
    <n v="1"/>
    <n v="0"/>
  </r>
  <r>
    <n v="45"/>
    <s v="find_first_in_sorted"/>
    <s v="condition fault"/>
    <s v="infinite loop error"/>
    <s v="edge-case impact"/>
    <s v="gpt35-python-with_lib"/>
    <n v="1"/>
    <x v="1"/>
    <x v="1"/>
    <n v="1"/>
    <n v="1"/>
    <n v="0"/>
  </r>
  <r>
    <n v="46"/>
    <s v="find_in_sorted"/>
    <s v="indexing fault"/>
    <s v="infinite loop error"/>
    <s v="edge-case impact"/>
    <s v="gpt35-python-with_lib"/>
    <n v="1"/>
    <x v="1"/>
    <x v="1"/>
    <n v="1"/>
    <n v="1"/>
    <n v="0"/>
  </r>
  <r>
    <n v="47"/>
    <s v="flatten"/>
    <s v="variable misuse fault"/>
    <s v="format error"/>
    <s v="base-case impact"/>
    <s v="gpt35-python-with_lib"/>
    <n v="1"/>
    <x v="1"/>
    <x v="1"/>
    <n v="1"/>
    <n v="1"/>
    <n v="0"/>
  </r>
  <r>
    <n v="48"/>
    <s v="gcd"/>
    <s v="variable misuse fault"/>
    <s v="infinite loop error"/>
    <s v="base-case impact"/>
    <s v="gpt35-python-with_lib"/>
    <n v="1"/>
    <x v="1"/>
    <x v="1"/>
    <n v="1"/>
    <n v="1"/>
    <n v="0"/>
  </r>
  <r>
    <n v="49"/>
    <s v="get_factors"/>
    <s v="variable assign fault"/>
    <s v="output error"/>
    <s v="base-case impact"/>
    <s v="gpt35-python-with_lib"/>
    <n v="0.66666666666666663"/>
    <x v="1"/>
    <x v="1"/>
    <n v="1"/>
    <n v="0"/>
    <n v="1"/>
  </r>
  <r>
    <n v="50"/>
    <s v="hanoi"/>
    <s v="variable misuse fault"/>
    <s v="output error"/>
    <s v="all-case impact"/>
    <s v="gpt35-python-with_lib"/>
    <n v="1"/>
    <x v="1"/>
    <x v="1"/>
    <n v="1"/>
    <n v="1"/>
    <n v="0"/>
  </r>
  <r>
    <n v="51"/>
    <s v="is_valid_parenthesization"/>
    <s v="variable assign fault"/>
    <s v="output error"/>
    <s v="edge-case impact"/>
    <s v="gpt35-python-with_lib"/>
    <n v="1"/>
    <x v="1"/>
    <x v="1"/>
    <n v="1"/>
    <n v="1"/>
    <n v="0"/>
  </r>
  <r>
    <n v="52"/>
    <s v="kheapsort"/>
    <s v="indexing fault"/>
    <s v="output error"/>
    <s v="base-case impact"/>
    <s v="gpt35-python-with_lib"/>
    <n v="1"/>
    <x v="1"/>
    <x v="1"/>
    <n v="1"/>
    <n v="1"/>
    <n v="0"/>
  </r>
  <r>
    <n v="53"/>
    <s v="knapsack"/>
    <s v="condition fault"/>
    <s v="output error"/>
    <s v="edge-case impact"/>
    <s v="gpt35-python-with_lib"/>
    <n v="1"/>
    <x v="1"/>
    <x v="1"/>
    <n v="1"/>
    <n v="1"/>
    <n v="0"/>
  </r>
  <r>
    <n v="54"/>
    <s v="kth"/>
    <s v="variable assign fault"/>
    <s v="runtime error"/>
    <s v="base-case impact"/>
    <s v="gpt35-python-with_lib"/>
    <n v="1"/>
    <x v="1"/>
    <x v="1"/>
    <n v="1"/>
    <n v="1"/>
    <n v="0"/>
  </r>
  <r>
    <n v="55"/>
    <s v="lcs_length"/>
    <s v="indexing fault"/>
    <s v="output error"/>
    <s v="base-case impact"/>
    <s v="gpt35-python-with_lib"/>
    <n v="1"/>
    <x v="1"/>
    <x v="1"/>
    <n v="1"/>
    <n v="1"/>
    <n v="0"/>
  </r>
  <r>
    <n v="56"/>
    <s v="levenshtein"/>
    <s v="variable assign fault"/>
    <s v="output error"/>
    <s v="base-case impact"/>
    <s v="gpt35-python-with_lib"/>
    <n v="0.66666666666666663"/>
    <x v="1"/>
    <x v="1"/>
    <n v="1"/>
    <n v="0"/>
    <n v="1"/>
  </r>
  <r>
    <n v="57"/>
    <s v="lis"/>
    <s v="variable assign fault"/>
    <s v="output error"/>
    <s v="base-case impact"/>
    <s v="gpt35-python-with_lib"/>
    <n v="0"/>
    <x v="1"/>
    <x v="1"/>
    <n v="0"/>
    <n v="0"/>
    <n v="0"/>
  </r>
  <r>
    <n v="58"/>
    <s v="longest_common_subsequence"/>
    <s v="indexing fault"/>
    <s v="output error"/>
    <s v="edge-case impact"/>
    <s v="gpt35-python-with_lib"/>
    <n v="1"/>
    <x v="1"/>
    <x v="1"/>
    <n v="1"/>
    <n v="1"/>
    <n v="0"/>
  </r>
  <r>
    <n v="59"/>
    <s v="max_sublist_sum"/>
    <s v="variable assign fault"/>
    <s v="output error"/>
    <s v="base-case impact"/>
    <s v="gpt35-python-with_lib"/>
    <n v="1"/>
    <x v="1"/>
    <x v="1"/>
    <n v="1"/>
    <n v="1"/>
    <n v="0"/>
  </r>
  <r>
    <n v="60"/>
    <s v="mergesort"/>
    <s v="condition fault"/>
    <s v="infinite loop error"/>
    <s v="all-case impact"/>
    <s v="gpt35-python-with_lib"/>
    <n v="1"/>
    <x v="1"/>
    <x v="1"/>
    <n v="1"/>
    <n v="1"/>
    <n v="0"/>
  </r>
  <r>
    <n v="61"/>
    <s v="minimum_spanning_tree"/>
    <s v="variable misuse fault"/>
    <s v="runtime error"/>
    <s v="all-case impact"/>
    <s v="gpt35-python-with_lib"/>
    <n v="1"/>
    <x v="1"/>
    <x v="1"/>
    <n v="1"/>
    <n v="1"/>
    <n v="0"/>
  </r>
  <r>
    <n v="62"/>
    <s v="next_palindrome"/>
    <s v="variable assign fault"/>
    <s v="format error"/>
    <s v="edge-case impact"/>
    <s v="gpt35-python-with_lib"/>
    <n v="1"/>
    <x v="1"/>
    <x v="1"/>
    <n v="1"/>
    <n v="1"/>
    <n v="0"/>
  </r>
  <r>
    <n v="63"/>
    <s v="next_permutation"/>
    <s v="condition fault"/>
    <s v="output error"/>
    <s v="all-case impact"/>
    <s v="gpt35-python-with_lib"/>
    <n v="1"/>
    <x v="1"/>
    <x v="1"/>
    <n v="1"/>
    <n v="1"/>
    <n v="0"/>
  </r>
  <r>
    <n v="64"/>
    <s v="pascal"/>
    <s v="indexing fault"/>
    <s v="runtime error"/>
    <s v="base-case impact"/>
    <s v="gpt35-python-with_lib"/>
    <n v="1"/>
    <x v="1"/>
    <x v="1"/>
    <n v="1"/>
    <n v="1"/>
    <n v="0"/>
  </r>
  <r>
    <n v="65"/>
    <s v="possible_change"/>
    <s v="condition fault"/>
    <s v="runtime error"/>
    <s v="edge-case impact"/>
    <s v="gpt35-python-with_lib"/>
    <n v="1"/>
    <x v="1"/>
    <x v="1"/>
    <n v="1"/>
    <n v="1"/>
    <n v="0"/>
  </r>
  <r>
    <n v="66"/>
    <s v="powerset"/>
    <s v="variable assign fault"/>
    <s v="output error"/>
    <s v="base-case impact"/>
    <s v="gpt35-python-with_lib"/>
    <n v="1"/>
    <x v="1"/>
    <x v="1"/>
    <n v="1"/>
    <n v="1"/>
    <n v="0"/>
  </r>
  <r>
    <n v="67"/>
    <s v="quicksort"/>
    <s v="condition fault"/>
    <s v="output error"/>
    <s v="edge-case impact"/>
    <s v="gpt35-python-with_lib"/>
    <n v="1"/>
    <x v="1"/>
    <x v="1"/>
    <n v="1"/>
    <n v="1"/>
    <n v="0"/>
  </r>
  <r>
    <n v="68"/>
    <s v="reverse_linked_list"/>
    <s v="variable assign missing fault"/>
    <s v="output error"/>
    <s v="all-case impact"/>
    <s v="gpt35-python-with_lib"/>
    <n v="1"/>
    <x v="1"/>
    <x v="1"/>
    <n v="1"/>
    <n v="1"/>
    <n v="0"/>
  </r>
  <r>
    <n v="69"/>
    <s v="rpn_eval"/>
    <s v="variable assign fault"/>
    <s v="output error"/>
    <s v="edge-case impact"/>
    <s v="gpt35-python-with_lib"/>
    <n v="1"/>
    <x v="1"/>
    <x v="1"/>
    <n v="1"/>
    <n v="1"/>
    <n v="0"/>
  </r>
  <r>
    <n v="70"/>
    <s v="shortest_path_length"/>
    <s v="variable assign fault"/>
    <s v="output error"/>
    <s v="base-case impact"/>
    <s v="gpt35-python-with_lib"/>
    <n v="0.66666666666666663"/>
    <x v="1"/>
    <x v="1"/>
    <n v="1"/>
    <n v="0"/>
    <n v="1"/>
  </r>
  <r>
    <n v="71"/>
    <s v="shortest_path_lengths"/>
    <s v="indexing fault"/>
    <s v="output error"/>
    <s v="all-case impact"/>
    <s v="gpt35-python-with_lib"/>
    <n v="1"/>
    <x v="1"/>
    <x v="1"/>
    <n v="1"/>
    <n v="1"/>
    <n v="0"/>
  </r>
  <r>
    <n v="72"/>
    <s v="shortest_paths"/>
    <s v="variable misuse fault"/>
    <s v="output error"/>
    <s v="all-case impact"/>
    <s v="gpt35-python-with_lib"/>
    <n v="1"/>
    <x v="1"/>
    <x v="1"/>
    <n v="1"/>
    <n v="1"/>
    <n v="0"/>
  </r>
  <r>
    <n v="73"/>
    <s v="shunting_yard"/>
    <s v="variable assign missing fault"/>
    <s v="output error"/>
    <s v="base-case impact"/>
    <s v="gpt35-python-with_lib"/>
    <n v="1"/>
    <x v="1"/>
    <x v="1"/>
    <n v="1"/>
    <n v="1"/>
    <n v="0"/>
  </r>
  <r>
    <n v="74"/>
    <s v="sieve"/>
    <s v="condition fault"/>
    <s v="output error"/>
    <s v="base-case impact"/>
    <s v="gpt35-python-with_lib"/>
    <n v="1"/>
    <x v="1"/>
    <x v="1"/>
    <n v="1"/>
    <n v="1"/>
    <n v="0"/>
  </r>
  <r>
    <n v="75"/>
    <s v="sqrt"/>
    <s v="condition fault"/>
    <s v="infinite loop error"/>
    <s v="base-case impact"/>
    <s v="gpt35-python-with_lib"/>
    <n v="1"/>
    <x v="1"/>
    <x v="1"/>
    <n v="1"/>
    <n v="1"/>
    <n v="0"/>
  </r>
  <r>
    <n v="76"/>
    <s v="subsequences"/>
    <s v="variable assign fault"/>
    <s v="output error"/>
    <s v="edge-case impact"/>
    <s v="gpt35-python-with_lib"/>
    <n v="0"/>
    <x v="1"/>
    <x v="1"/>
    <n v="0"/>
    <n v="0"/>
    <n v="0"/>
  </r>
  <r>
    <n v="77"/>
    <s v="to_base"/>
    <s v="variable assign fault"/>
    <s v="output error"/>
    <s v="base-case impact"/>
    <s v="gpt35-python-with_lib"/>
    <n v="1"/>
    <x v="1"/>
    <x v="1"/>
    <n v="1"/>
    <n v="1"/>
    <n v="0"/>
  </r>
  <r>
    <n v="78"/>
    <s v="topological_ordering"/>
    <s v="condition fault"/>
    <s v="output error"/>
    <s v="all-case impact"/>
    <s v="gpt35-python-with_lib"/>
    <n v="0.33333333333333331"/>
    <x v="1"/>
    <x v="1"/>
    <n v="1"/>
    <n v="0"/>
    <n v="1"/>
  </r>
  <r>
    <n v="79"/>
    <s v="wrap"/>
    <s v="variable assign missing fault"/>
    <s v="format error"/>
    <s v="all-case impact"/>
    <s v="gpt35-python-with_lib"/>
    <n v="0"/>
    <x v="1"/>
    <x v="1"/>
    <n v="0"/>
    <n v="0"/>
    <n v="0"/>
  </r>
  <r>
    <n v="80"/>
    <s v="bitcount"/>
    <s v="variable assign fault"/>
    <s v="infinite loop error"/>
    <s v="all-case impact"/>
    <s v="gpt35-python-with_location"/>
    <n v="1"/>
    <x v="0"/>
    <x v="1"/>
    <n v="1"/>
    <n v="1"/>
    <n v="0"/>
  </r>
  <r>
    <n v="81"/>
    <s v="breadth_first_search"/>
    <s v="condition fault"/>
    <s v="infinite loop error"/>
    <s v="edge-case impact"/>
    <s v="gpt35-python-with_location"/>
    <n v="1"/>
    <x v="0"/>
    <x v="1"/>
    <n v="1"/>
    <n v="1"/>
    <n v="0"/>
  </r>
  <r>
    <n v="82"/>
    <s v="bucketsort"/>
    <s v="variable misuse fault"/>
    <s v="output error"/>
    <s v="all-case impact"/>
    <s v="gpt35-python-with_location"/>
    <n v="1"/>
    <x v="0"/>
    <x v="1"/>
    <n v="1"/>
    <n v="1"/>
    <n v="0"/>
  </r>
  <r>
    <n v="83"/>
    <s v="depth_first_search"/>
    <s v="variable misuse fault"/>
    <s v="infinite loop error"/>
    <s v="edge-case impact"/>
    <s v="gpt35-python-with_location"/>
    <n v="1"/>
    <x v="0"/>
    <x v="1"/>
    <n v="1"/>
    <n v="1"/>
    <n v="0"/>
  </r>
  <r>
    <n v="84"/>
    <s v="detect_cycle"/>
    <s v="condition fault"/>
    <s v="runtime error"/>
    <s v="edge-case impact"/>
    <s v="gpt35-python-with_location"/>
    <n v="1"/>
    <x v="0"/>
    <x v="1"/>
    <n v="1"/>
    <n v="1"/>
    <n v="0"/>
  </r>
  <r>
    <n v="85"/>
    <s v="find_first_in_sorted"/>
    <s v="condition fault"/>
    <s v="infinite loop error"/>
    <s v="edge-case impact"/>
    <s v="gpt35-python-with_location"/>
    <n v="1"/>
    <x v="0"/>
    <x v="1"/>
    <n v="1"/>
    <n v="1"/>
    <n v="0"/>
  </r>
  <r>
    <n v="86"/>
    <s v="find_in_sorted"/>
    <s v="indexing fault"/>
    <s v="infinite loop error"/>
    <s v="edge-case impact"/>
    <s v="gpt35-python-with_location"/>
    <n v="1"/>
    <x v="0"/>
    <x v="1"/>
    <n v="1"/>
    <n v="1"/>
    <n v="0"/>
  </r>
  <r>
    <n v="87"/>
    <s v="flatten"/>
    <s v="variable misuse fault"/>
    <s v="format error"/>
    <s v="base-case impact"/>
    <s v="gpt35-python-with_location"/>
    <n v="1"/>
    <x v="0"/>
    <x v="1"/>
    <n v="1"/>
    <n v="1"/>
    <n v="0"/>
  </r>
  <r>
    <n v="88"/>
    <s v="gcd"/>
    <s v="variable misuse fault"/>
    <s v="infinite loop error"/>
    <s v="base-case impact"/>
    <s v="gpt35-python-with_location"/>
    <n v="1"/>
    <x v="0"/>
    <x v="1"/>
    <n v="1"/>
    <n v="1"/>
    <n v="0"/>
  </r>
  <r>
    <n v="89"/>
    <s v="get_factors"/>
    <s v="variable assign fault"/>
    <s v="output error"/>
    <s v="base-case impact"/>
    <s v="gpt35-python-with_location"/>
    <n v="1"/>
    <x v="0"/>
    <x v="1"/>
    <n v="1"/>
    <n v="1"/>
    <n v="0"/>
  </r>
  <r>
    <n v="90"/>
    <s v="hanoi"/>
    <s v="variable misuse fault"/>
    <s v="output error"/>
    <s v="all-case impact"/>
    <s v="gpt35-python-with_location"/>
    <n v="1"/>
    <x v="0"/>
    <x v="1"/>
    <n v="1"/>
    <n v="1"/>
    <n v="0"/>
  </r>
  <r>
    <n v="91"/>
    <s v="is_valid_parenthesization"/>
    <s v="variable assign fault"/>
    <s v="output error"/>
    <s v="edge-case impact"/>
    <s v="gpt35-python-with_location"/>
    <n v="1"/>
    <x v="0"/>
    <x v="1"/>
    <n v="1"/>
    <n v="1"/>
    <n v="0"/>
  </r>
  <r>
    <n v="92"/>
    <s v="kheapsort"/>
    <s v="indexing fault"/>
    <s v="output error"/>
    <s v="base-case impact"/>
    <s v="gpt35-python-with_location"/>
    <n v="1"/>
    <x v="0"/>
    <x v="1"/>
    <n v="1"/>
    <n v="1"/>
    <n v="0"/>
  </r>
  <r>
    <n v="93"/>
    <s v="knapsack"/>
    <s v="condition fault"/>
    <s v="output error"/>
    <s v="edge-case impact"/>
    <s v="gpt35-python-with_location"/>
    <n v="1"/>
    <x v="0"/>
    <x v="1"/>
    <n v="1"/>
    <n v="1"/>
    <n v="0"/>
  </r>
  <r>
    <n v="94"/>
    <s v="kth"/>
    <s v="variable assign fault"/>
    <s v="runtime error"/>
    <s v="base-case impact"/>
    <s v="gpt35-python-with_location"/>
    <n v="1"/>
    <x v="0"/>
    <x v="1"/>
    <n v="1"/>
    <n v="1"/>
    <n v="0"/>
  </r>
  <r>
    <n v="95"/>
    <s v="lcs_length"/>
    <s v="indexing fault"/>
    <s v="output error"/>
    <s v="base-case impact"/>
    <s v="gpt35-python-with_location"/>
    <n v="1"/>
    <x v="0"/>
    <x v="1"/>
    <n v="1"/>
    <n v="1"/>
    <n v="0"/>
  </r>
  <r>
    <n v="96"/>
    <s v="levenshtein"/>
    <s v="variable assign fault"/>
    <s v="output error"/>
    <s v="base-case impact"/>
    <s v="gpt35-python-with_location"/>
    <n v="1"/>
    <x v="0"/>
    <x v="1"/>
    <n v="1"/>
    <n v="1"/>
    <n v="0"/>
  </r>
  <r>
    <n v="97"/>
    <s v="lis"/>
    <s v="variable assign fault"/>
    <s v="output error"/>
    <s v="base-case impact"/>
    <s v="gpt35-python-with_location"/>
    <n v="0"/>
    <x v="0"/>
    <x v="1"/>
    <n v="0"/>
    <n v="0"/>
    <n v="0"/>
  </r>
  <r>
    <n v="98"/>
    <s v="longest_common_subsequence"/>
    <s v="indexing fault"/>
    <s v="output error"/>
    <s v="edge-case impact"/>
    <s v="gpt35-python-with_location"/>
    <n v="1"/>
    <x v="0"/>
    <x v="1"/>
    <n v="1"/>
    <n v="1"/>
    <n v="0"/>
  </r>
  <r>
    <n v="99"/>
    <s v="max_sublist_sum"/>
    <s v="variable assign fault"/>
    <s v="output error"/>
    <s v="base-case impact"/>
    <s v="gpt35-python-with_location"/>
    <n v="0.66666666666666663"/>
    <x v="0"/>
    <x v="1"/>
    <n v="1"/>
    <n v="0"/>
    <n v="1"/>
  </r>
  <r>
    <n v="100"/>
    <s v="mergesort"/>
    <s v="condition fault"/>
    <s v="infinite loop error"/>
    <s v="all-case impact"/>
    <s v="gpt35-python-with_location"/>
    <n v="1"/>
    <x v="0"/>
    <x v="1"/>
    <n v="1"/>
    <n v="1"/>
    <n v="0"/>
  </r>
  <r>
    <n v="101"/>
    <s v="minimum_spanning_tree"/>
    <s v="variable misuse fault"/>
    <s v="runtime error"/>
    <s v="all-case impact"/>
    <s v="gpt35-python-with_location"/>
    <n v="0.66666666666666663"/>
    <x v="0"/>
    <x v="1"/>
    <n v="1"/>
    <n v="0"/>
    <n v="1"/>
  </r>
  <r>
    <n v="102"/>
    <s v="next_palindrome"/>
    <s v="variable assign fault"/>
    <s v="format error"/>
    <s v="edge-case impact"/>
    <s v="gpt35-python-with_location"/>
    <n v="1"/>
    <x v="0"/>
    <x v="1"/>
    <n v="1"/>
    <n v="1"/>
    <n v="0"/>
  </r>
  <r>
    <n v="103"/>
    <s v="next_permutation"/>
    <s v="condition fault"/>
    <s v="output error"/>
    <s v="all-case impact"/>
    <s v="gpt35-python-with_location"/>
    <n v="1"/>
    <x v="0"/>
    <x v="1"/>
    <n v="1"/>
    <n v="1"/>
    <n v="0"/>
  </r>
  <r>
    <n v="104"/>
    <s v="pascal"/>
    <s v="indexing fault"/>
    <s v="runtime error"/>
    <s v="base-case impact"/>
    <s v="gpt35-python-with_location"/>
    <n v="1"/>
    <x v="0"/>
    <x v="1"/>
    <n v="1"/>
    <n v="1"/>
    <n v="0"/>
  </r>
  <r>
    <n v="105"/>
    <s v="possible_change"/>
    <s v="condition fault"/>
    <s v="runtime error"/>
    <s v="edge-case impact"/>
    <s v="gpt35-python-with_location"/>
    <n v="1"/>
    <x v="0"/>
    <x v="1"/>
    <n v="1"/>
    <n v="1"/>
    <n v="0"/>
  </r>
  <r>
    <n v="106"/>
    <s v="powerset"/>
    <s v="variable assign fault"/>
    <s v="output error"/>
    <s v="base-case impact"/>
    <s v="gpt35-python-with_location"/>
    <n v="1"/>
    <x v="0"/>
    <x v="1"/>
    <n v="1"/>
    <n v="1"/>
    <n v="0"/>
  </r>
  <r>
    <n v="107"/>
    <s v="quicksort"/>
    <s v="condition fault"/>
    <s v="output error"/>
    <s v="edge-case impact"/>
    <s v="gpt35-python-with_location"/>
    <n v="1"/>
    <x v="0"/>
    <x v="1"/>
    <n v="1"/>
    <n v="1"/>
    <n v="0"/>
  </r>
  <r>
    <n v="108"/>
    <s v="reverse_linked_list"/>
    <s v="variable assign missing fault"/>
    <s v="output error"/>
    <s v="all-case impact"/>
    <s v="gpt35-python-with_location"/>
    <n v="1"/>
    <x v="0"/>
    <x v="1"/>
    <n v="1"/>
    <n v="1"/>
    <n v="0"/>
  </r>
  <r>
    <n v="109"/>
    <s v="rpn_eval"/>
    <s v="variable assign fault"/>
    <s v="output error"/>
    <s v="edge-case impact"/>
    <s v="gpt35-python-with_location"/>
    <n v="1"/>
    <x v="0"/>
    <x v="1"/>
    <n v="1"/>
    <n v="1"/>
    <n v="0"/>
  </r>
  <r>
    <n v="110"/>
    <s v="shortest_path_length"/>
    <s v="variable assign fault"/>
    <s v="output error"/>
    <s v="base-case impact"/>
    <s v="gpt35-python-with_location"/>
    <n v="0"/>
    <x v="0"/>
    <x v="1"/>
    <n v="0"/>
    <n v="0"/>
    <n v="0"/>
  </r>
  <r>
    <n v="111"/>
    <s v="shortest_path_lengths"/>
    <s v="indexing fault"/>
    <s v="output error"/>
    <s v="all-case impact"/>
    <s v="gpt35-python-with_location"/>
    <n v="1"/>
    <x v="0"/>
    <x v="1"/>
    <n v="1"/>
    <n v="1"/>
    <n v="0"/>
  </r>
  <r>
    <n v="112"/>
    <s v="shortest_paths"/>
    <s v="variable misuse fault"/>
    <s v="output error"/>
    <s v="all-case impact"/>
    <s v="gpt35-python-with_location"/>
    <n v="1"/>
    <x v="0"/>
    <x v="1"/>
    <n v="1"/>
    <n v="1"/>
    <n v="0"/>
  </r>
  <r>
    <n v="113"/>
    <s v="shunting_yard"/>
    <s v="variable assign missing fault"/>
    <s v="output error"/>
    <s v="base-case impact"/>
    <s v="gpt35-python-with_location"/>
    <n v="1"/>
    <x v="0"/>
    <x v="1"/>
    <n v="1"/>
    <n v="1"/>
    <n v="0"/>
  </r>
  <r>
    <n v="114"/>
    <s v="sieve"/>
    <s v="condition fault"/>
    <s v="output error"/>
    <s v="base-case impact"/>
    <s v="gpt35-python-with_location"/>
    <n v="1"/>
    <x v="0"/>
    <x v="1"/>
    <n v="1"/>
    <n v="1"/>
    <n v="0"/>
  </r>
  <r>
    <n v="115"/>
    <s v="sqrt"/>
    <s v="condition fault"/>
    <s v="infinite loop error"/>
    <s v="base-case impact"/>
    <s v="gpt35-python-with_location"/>
    <n v="1"/>
    <x v="0"/>
    <x v="1"/>
    <n v="1"/>
    <n v="1"/>
    <n v="0"/>
  </r>
  <r>
    <n v="116"/>
    <s v="subsequences"/>
    <s v="variable assign fault"/>
    <s v="output error"/>
    <s v="edge-case impact"/>
    <s v="gpt35-python-with_location"/>
    <n v="1"/>
    <x v="0"/>
    <x v="1"/>
    <n v="1"/>
    <n v="1"/>
    <n v="0"/>
  </r>
  <r>
    <n v="117"/>
    <s v="to_base"/>
    <s v="variable assign fault"/>
    <s v="output error"/>
    <s v="base-case impact"/>
    <s v="gpt35-python-with_location"/>
    <n v="1"/>
    <x v="0"/>
    <x v="1"/>
    <n v="1"/>
    <n v="1"/>
    <n v="0"/>
  </r>
  <r>
    <n v="118"/>
    <s v="topological_ordering"/>
    <s v="condition fault"/>
    <s v="output error"/>
    <s v="all-case impact"/>
    <s v="gpt35-python-with_location"/>
    <n v="1"/>
    <x v="0"/>
    <x v="1"/>
    <n v="1"/>
    <n v="1"/>
    <n v="0"/>
  </r>
  <r>
    <n v="119"/>
    <s v="wrap"/>
    <s v="variable assign missing fault"/>
    <s v="format error"/>
    <s v="all-case impact"/>
    <s v="gpt35-python-with_location"/>
    <n v="0.33333333333333331"/>
    <x v="0"/>
    <x v="1"/>
    <n v="1"/>
    <n v="0"/>
    <n v="1"/>
  </r>
  <r>
    <n v="120"/>
    <s v="bitcount"/>
    <s v="variable assign fault"/>
    <s v="infinite loop error"/>
    <s v="all-case impact"/>
    <s v="claude-python-basic"/>
    <n v="1"/>
    <x v="2"/>
    <x v="2"/>
    <n v="1"/>
    <n v="1"/>
    <n v="0"/>
  </r>
  <r>
    <n v="121"/>
    <s v="breadth_first_search"/>
    <s v="condition fault"/>
    <s v="infinite loop error"/>
    <s v="edge-case impact"/>
    <s v="claude-python-basic"/>
    <n v="1"/>
    <x v="2"/>
    <x v="2"/>
    <n v="1"/>
    <n v="1"/>
    <n v="0"/>
  </r>
  <r>
    <n v="122"/>
    <s v="bucketsort"/>
    <s v="variable misuse fault"/>
    <s v="output error"/>
    <s v="all-case impact"/>
    <s v="claude-python-basic"/>
    <n v="1"/>
    <x v="2"/>
    <x v="2"/>
    <n v="1"/>
    <n v="1"/>
    <n v="0"/>
  </r>
  <r>
    <n v="123"/>
    <s v="depth_first_search"/>
    <s v="variable misuse fault"/>
    <s v="infinite loop error"/>
    <s v="edge-case impact"/>
    <s v="claude-python-basic"/>
    <n v="0.66666666666666663"/>
    <x v="2"/>
    <x v="2"/>
    <n v="1"/>
    <n v="0"/>
    <n v="1"/>
  </r>
  <r>
    <n v="124"/>
    <s v="detect_cycle"/>
    <s v="condition fault"/>
    <s v="runtime error"/>
    <s v="edge-case impact"/>
    <s v="claude-python-basic"/>
    <n v="1"/>
    <x v="2"/>
    <x v="2"/>
    <n v="1"/>
    <n v="1"/>
    <n v="0"/>
  </r>
  <r>
    <n v="125"/>
    <s v="find_first_in_sorted"/>
    <s v="condition fault"/>
    <s v="infinite loop error"/>
    <s v="edge-case impact"/>
    <s v="claude-python-basic"/>
    <n v="0"/>
    <x v="2"/>
    <x v="2"/>
    <n v="0"/>
    <n v="0"/>
    <n v="0"/>
  </r>
  <r>
    <n v="126"/>
    <s v="find_in_sorted"/>
    <s v="indexing fault"/>
    <s v="infinite loop error"/>
    <s v="edge-case impact"/>
    <s v="claude-python-basic"/>
    <n v="1"/>
    <x v="2"/>
    <x v="2"/>
    <n v="1"/>
    <n v="1"/>
    <n v="0"/>
  </r>
  <r>
    <n v="127"/>
    <s v="flatten"/>
    <s v="variable misuse fault"/>
    <s v="format error"/>
    <s v="base-case impact"/>
    <s v="claude-python-basic"/>
    <n v="0.33333333333333331"/>
    <x v="2"/>
    <x v="2"/>
    <n v="1"/>
    <n v="0"/>
    <n v="1"/>
  </r>
  <r>
    <n v="128"/>
    <s v="gcd"/>
    <s v="variable misuse fault"/>
    <s v="infinite loop error"/>
    <s v="base-case impact"/>
    <s v="claude-python-basic"/>
    <n v="0.66666666666666663"/>
    <x v="2"/>
    <x v="2"/>
    <n v="1"/>
    <n v="0"/>
    <n v="1"/>
  </r>
  <r>
    <n v="129"/>
    <s v="get_factors"/>
    <s v="variable assign fault"/>
    <s v="output error"/>
    <s v="base-case impact"/>
    <s v="claude-python-basic"/>
    <n v="0"/>
    <x v="2"/>
    <x v="2"/>
    <n v="0"/>
    <n v="0"/>
    <n v="0"/>
  </r>
  <r>
    <n v="130"/>
    <s v="hanoi"/>
    <s v="variable misuse fault"/>
    <s v="output error"/>
    <s v="all-case impact"/>
    <s v="claude-python-basic"/>
    <n v="0.66666666666666663"/>
    <x v="2"/>
    <x v="2"/>
    <n v="1"/>
    <n v="0"/>
    <n v="1"/>
  </r>
  <r>
    <n v="131"/>
    <s v="is_valid_parenthesization"/>
    <s v="variable assign fault"/>
    <s v="output error"/>
    <s v="edge-case impact"/>
    <s v="claude-python-basic"/>
    <n v="1"/>
    <x v="2"/>
    <x v="2"/>
    <n v="1"/>
    <n v="1"/>
    <n v="0"/>
  </r>
  <r>
    <n v="132"/>
    <s v="kheapsort"/>
    <s v="indexing fault"/>
    <s v="output error"/>
    <s v="base-case impact"/>
    <s v="claude-python-basic"/>
    <n v="1"/>
    <x v="2"/>
    <x v="2"/>
    <n v="1"/>
    <n v="1"/>
    <n v="0"/>
  </r>
  <r>
    <n v="133"/>
    <s v="knapsack"/>
    <s v="condition fault"/>
    <s v="output error"/>
    <s v="edge-case impact"/>
    <s v="claude-python-basic"/>
    <n v="1"/>
    <x v="2"/>
    <x v="2"/>
    <n v="1"/>
    <n v="1"/>
    <n v="0"/>
  </r>
  <r>
    <n v="134"/>
    <s v="kth"/>
    <s v="variable assign fault"/>
    <s v="runtime error"/>
    <s v="base-case impact"/>
    <s v="claude-python-basic"/>
    <n v="1"/>
    <x v="2"/>
    <x v="2"/>
    <n v="1"/>
    <n v="1"/>
    <n v="0"/>
  </r>
  <r>
    <n v="135"/>
    <s v="lcs_length"/>
    <s v="indexing fault"/>
    <s v="output error"/>
    <s v="base-case impact"/>
    <s v="claude-python-basic"/>
    <n v="0"/>
    <x v="2"/>
    <x v="2"/>
    <n v="0"/>
    <n v="0"/>
    <n v="0"/>
  </r>
  <r>
    <n v="136"/>
    <s v="levenshtein"/>
    <s v="variable assign fault"/>
    <s v="output error"/>
    <s v="base-case impact"/>
    <s v="claude-python-basic"/>
    <n v="1"/>
    <x v="2"/>
    <x v="2"/>
    <n v="1"/>
    <n v="1"/>
    <n v="0"/>
  </r>
  <r>
    <n v="137"/>
    <s v="lis"/>
    <s v="variable assign fault"/>
    <s v="output error"/>
    <s v="base-case impact"/>
    <s v="claude-python-basic"/>
    <n v="0"/>
    <x v="2"/>
    <x v="2"/>
    <n v="0"/>
    <n v="0"/>
    <n v="0"/>
  </r>
  <r>
    <n v="138"/>
    <s v="longest_common_subsequence"/>
    <s v="indexing fault"/>
    <s v="output error"/>
    <s v="edge-case impact"/>
    <s v="claude-python-basic"/>
    <n v="0.66666666666666663"/>
    <x v="2"/>
    <x v="2"/>
    <n v="1"/>
    <n v="0"/>
    <n v="1"/>
  </r>
  <r>
    <n v="139"/>
    <s v="max_sublist_sum"/>
    <s v="variable assign fault"/>
    <s v="output error"/>
    <s v="base-case impact"/>
    <s v="claude-python-basic"/>
    <n v="0.33333333333333331"/>
    <x v="2"/>
    <x v="2"/>
    <n v="1"/>
    <n v="0"/>
    <n v="1"/>
  </r>
  <r>
    <n v="140"/>
    <s v="mergesort"/>
    <s v="condition fault"/>
    <s v="infinite loop error"/>
    <s v="all-case impact"/>
    <s v="claude-python-basic"/>
    <n v="1"/>
    <x v="2"/>
    <x v="2"/>
    <n v="1"/>
    <n v="1"/>
    <n v="0"/>
  </r>
  <r>
    <n v="141"/>
    <s v="minimum_spanning_tree"/>
    <s v="variable misuse fault"/>
    <s v="runtime error"/>
    <s v="all-case impact"/>
    <s v="claude-python-basic"/>
    <n v="1"/>
    <x v="2"/>
    <x v="2"/>
    <n v="1"/>
    <n v="1"/>
    <n v="0"/>
  </r>
  <r>
    <n v="142"/>
    <s v="next_palindrome"/>
    <s v="variable assign fault"/>
    <s v="format error"/>
    <s v="edge-case impact"/>
    <s v="claude-python-basic"/>
    <n v="1"/>
    <x v="2"/>
    <x v="2"/>
    <n v="1"/>
    <n v="1"/>
    <n v="0"/>
  </r>
  <r>
    <n v="143"/>
    <s v="next_permutation"/>
    <s v="condition fault"/>
    <s v="output error"/>
    <s v="all-case impact"/>
    <s v="claude-python-basic"/>
    <n v="1"/>
    <x v="2"/>
    <x v="2"/>
    <n v="1"/>
    <n v="1"/>
    <n v="0"/>
  </r>
  <r>
    <n v="144"/>
    <s v="pascal"/>
    <s v="indexing fault"/>
    <s v="runtime error"/>
    <s v="base-case impact"/>
    <s v="claude-python-basic"/>
    <n v="1"/>
    <x v="2"/>
    <x v="2"/>
    <n v="1"/>
    <n v="1"/>
    <n v="0"/>
  </r>
  <r>
    <n v="145"/>
    <s v="possible_change"/>
    <s v="condition fault"/>
    <s v="runtime error"/>
    <s v="edge-case impact"/>
    <s v="claude-python-basic"/>
    <n v="1"/>
    <x v="2"/>
    <x v="2"/>
    <n v="1"/>
    <n v="1"/>
    <n v="0"/>
  </r>
  <r>
    <n v="146"/>
    <s v="powerset"/>
    <s v="variable assign fault"/>
    <s v="output error"/>
    <s v="base-case impact"/>
    <s v="claude-python-basic"/>
    <n v="0.66666666666666663"/>
    <x v="2"/>
    <x v="2"/>
    <n v="1"/>
    <n v="0"/>
    <n v="1"/>
  </r>
  <r>
    <n v="147"/>
    <s v="quicksort"/>
    <s v="condition fault"/>
    <s v="output error"/>
    <s v="edge-case impact"/>
    <s v="claude-python-basic"/>
    <n v="0.66666666666666663"/>
    <x v="2"/>
    <x v="2"/>
    <n v="1"/>
    <n v="0"/>
    <n v="1"/>
  </r>
  <r>
    <n v="148"/>
    <s v="reverse_linked_list"/>
    <s v="variable assign missing fault"/>
    <s v="output error"/>
    <s v="all-case impact"/>
    <s v="claude-python-basic"/>
    <n v="1"/>
    <x v="2"/>
    <x v="2"/>
    <n v="1"/>
    <n v="1"/>
    <n v="0"/>
  </r>
  <r>
    <n v="149"/>
    <s v="rpn_eval"/>
    <s v="variable assign fault"/>
    <s v="output error"/>
    <s v="edge-case impact"/>
    <s v="claude-python-basic"/>
    <n v="0.33333333333333331"/>
    <x v="2"/>
    <x v="2"/>
    <n v="1"/>
    <n v="0"/>
    <n v="1"/>
  </r>
  <r>
    <n v="150"/>
    <s v="shortest_path_length"/>
    <s v="variable assign fault"/>
    <s v="output error"/>
    <s v="base-case impact"/>
    <s v="claude-python-basic"/>
    <n v="0.66666666666666663"/>
    <x v="2"/>
    <x v="2"/>
    <n v="1"/>
    <n v="0"/>
    <n v="1"/>
  </r>
  <r>
    <n v="151"/>
    <s v="shortest_path_lengths"/>
    <s v="indexing fault"/>
    <s v="output error"/>
    <s v="all-case impact"/>
    <s v="claude-python-basic"/>
    <n v="0"/>
    <x v="2"/>
    <x v="2"/>
    <n v="0"/>
    <n v="0"/>
    <n v="0"/>
  </r>
  <r>
    <n v="152"/>
    <s v="shortest_paths"/>
    <s v="variable misuse fault"/>
    <s v="output error"/>
    <s v="all-case impact"/>
    <s v="claude-python-basic"/>
    <n v="0.33333333333333331"/>
    <x v="2"/>
    <x v="2"/>
    <n v="1"/>
    <n v="0"/>
    <n v="1"/>
  </r>
  <r>
    <n v="153"/>
    <s v="shunting_yard"/>
    <s v="variable assign missing fault"/>
    <s v="output error"/>
    <s v="base-case impact"/>
    <s v="claude-python-basic"/>
    <n v="1"/>
    <x v="2"/>
    <x v="2"/>
    <n v="1"/>
    <n v="1"/>
    <n v="0"/>
  </r>
  <r>
    <n v="154"/>
    <s v="sieve"/>
    <s v="condition fault"/>
    <s v="output error"/>
    <s v="base-case impact"/>
    <s v="claude-python-basic"/>
    <n v="1"/>
    <x v="2"/>
    <x v="2"/>
    <n v="1"/>
    <n v="1"/>
    <n v="0"/>
  </r>
  <r>
    <n v="155"/>
    <s v="sqrt"/>
    <s v="condition fault"/>
    <s v="infinite loop error"/>
    <s v="base-case impact"/>
    <s v="claude-python-basic"/>
    <n v="1"/>
    <x v="2"/>
    <x v="2"/>
    <n v="1"/>
    <n v="1"/>
    <n v="0"/>
  </r>
  <r>
    <n v="156"/>
    <s v="subsequences"/>
    <s v="variable assign fault"/>
    <s v="output error"/>
    <s v="edge-case impact"/>
    <s v="claude-python-basic"/>
    <n v="0"/>
    <x v="2"/>
    <x v="2"/>
    <n v="0"/>
    <n v="0"/>
    <n v="0"/>
  </r>
  <r>
    <n v="157"/>
    <s v="to_base"/>
    <s v="variable assign fault"/>
    <s v="output error"/>
    <s v="base-case impact"/>
    <s v="claude-python-basic"/>
    <n v="1"/>
    <x v="2"/>
    <x v="2"/>
    <n v="1"/>
    <n v="1"/>
    <n v="0"/>
  </r>
  <r>
    <n v="158"/>
    <s v="topological_ordering"/>
    <s v="condition fault"/>
    <s v="output error"/>
    <s v="all-case impact"/>
    <s v="claude-python-basic"/>
    <n v="1"/>
    <x v="2"/>
    <x v="2"/>
    <n v="1"/>
    <n v="1"/>
    <n v="0"/>
  </r>
  <r>
    <n v="159"/>
    <s v="wrap"/>
    <s v="variable assign missing fault"/>
    <s v="format error"/>
    <s v="all-case impact"/>
    <s v="claude-python-basic"/>
    <n v="0"/>
    <x v="2"/>
    <x v="2"/>
    <n v="0"/>
    <n v="0"/>
    <n v="0"/>
  </r>
  <r>
    <n v="160"/>
    <s v="bitcount"/>
    <s v="variable assign fault"/>
    <s v="infinite loop error"/>
    <s v="all-case impact"/>
    <s v="gpt4-python-with_location"/>
    <n v="1"/>
    <x v="0"/>
    <x v="3"/>
    <n v="1"/>
    <n v="1"/>
    <n v="0"/>
  </r>
  <r>
    <n v="161"/>
    <s v="breadth_first_search"/>
    <s v="condition fault"/>
    <s v="infinite loop error"/>
    <s v="edge-case impact"/>
    <s v="gpt4-python-with_location"/>
    <n v="1"/>
    <x v="0"/>
    <x v="3"/>
    <n v="1"/>
    <n v="1"/>
    <n v="0"/>
  </r>
  <r>
    <n v="162"/>
    <s v="bucketsort"/>
    <s v="variable misuse fault"/>
    <s v="output error"/>
    <s v="all-case impact"/>
    <s v="gpt4-python-with_location"/>
    <n v="1"/>
    <x v="0"/>
    <x v="3"/>
    <n v="1"/>
    <n v="1"/>
    <n v="0"/>
  </r>
  <r>
    <n v="163"/>
    <s v="depth_first_search"/>
    <s v="variable misuse fault"/>
    <s v="infinite loop error"/>
    <s v="edge-case impact"/>
    <s v="gpt4-python-with_location"/>
    <n v="1"/>
    <x v="0"/>
    <x v="3"/>
    <n v="1"/>
    <n v="1"/>
    <n v="0"/>
  </r>
  <r>
    <n v="164"/>
    <s v="detect_cycle"/>
    <s v="condition fault"/>
    <s v="runtime error"/>
    <s v="edge-case impact"/>
    <s v="gpt4-python-with_location"/>
    <n v="1"/>
    <x v="0"/>
    <x v="3"/>
    <n v="1"/>
    <n v="1"/>
    <n v="0"/>
  </r>
  <r>
    <n v="165"/>
    <s v="find_first_in_sorted"/>
    <s v="condition fault"/>
    <s v="infinite loop error"/>
    <s v="edge-case impact"/>
    <s v="gpt4-python-with_location"/>
    <n v="1"/>
    <x v="0"/>
    <x v="3"/>
    <n v="1"/>
    <n v="1"/>
    <n v="0"/>
  </r>
  <r>
    <n v="166"/>
    <s v="find_in_sorted"/>
    <s v="indexing fault"/>
    <s v="infinite loop error"/>
    <s v="edge-case impact"/>
    <s v="gpt4-python-with_location"/>
    <n v="1"/>
    <x v="0"/>
    <x v="3"/>
    <n v="1"/>
    <n v="1"/>
    <n v="0"/>
  </r>
  <r>
    <n v="167"/>
    <s v="flatten"/>
    <s v="variable misuse fault"/>
    <s v="format error"/>
    <s v="base-case impact"/>
    <s v="gpt4-python-with_location"/>
    <n v="1"/>
    <x v="0"/>
    <x v="3"/>
    <n v="1"/>
    <n v="1"/>
    <n v="0"/>
  </r>
  <r>
    <n v="168"/>
    <s v="gcd"/>
    <s v="variable misuse fault"/>
    <s v="infinite loop error"/>
    <s v="base-case impact"/>
    <s v="gpt4-python-with_location"/>
    <n v="1"/>
    <x v="0"/>
    <x v="3"/>
    <n v="1"/>
    <n v="1"/>
    <n v="0"/>
  </r>
  <r>
    <n v="169"/>
    <s v="get_factors"/>
    <s v="variable assign fault"/>
    <s v="output error"/>
    <s v="base-case impact"/>
    <s v="gpt4-python-with_location"/>
    <n v="1"/>
    <x v="0"/>
    <x v="3"/>
    <n v="1"/>
    <n v="1"/>
    <n v="0"/>
  </r>
  <r>
    <n v="170"/>
    <s v="hanoi"/>
    <s v="variable misuse fault"/>
    <s v="output error"/>
    <s v="all-case impact"/>
    <s v="gpt4-python-with_location"/>
    <n v="1"/>
    <x v="0"/>
    <x v="3"/>
    <n v="1"/>
    <n v="1"/>
    <n v="0"/>
  </r>
  <r>
    <n v="171"/>
    <s v="is_valid_parenthesization"/>
    <s v="variable assign fault"/>
    <s v="output error"/>
    <s v="edge-case impact"/>
    <s v="gpt4-python-with_location"/>
    <n v="1"/>
    <x v="0"/>
    <x v="3"/>
    <n v="1"/>
    <n v="1"/>
    <n v="0"/>
  </r>
  <r>
    <n v="172"/>
    <s v="kheapsort"/>
    <s v="indexing fault"/>
    <s v="output error"/>
    <s v="base-case impact"/>
    <s v="gpt4-python-with_location"/>
    <n v="0.66666666666666663"/>
    <x v="0"/>
    <x v="3"/>
    <n v="1"/>
    <n v="0"/>
    <n v="1"/>
  </r>
  <r>
    <n v="173"/>
    <s v="knapsack"/>
    <s v="condition fault"/>
    <s v="output error"/>
    <s v="edge-case impact"/>
    <s v="gpt4-python-with_location"/>
    <n v="1"/>
    <x v="0"/>
    <x v="3"/>
    <n v="1"/>
    <n v="1"/>
    <n v="0"/>
  </r>
  <r>
    <n v="174"/>
    <s v="kth"/>
    <s v="variable assign fault"/>
    <s v="runtime error"/>
    <s v="base-case impact"/>
    <s v="gpt4-python-with_location"/>
    <n v="1"/>
    <x v="0"/>
    <x v="3"/>
    <n v="1"/>
    <n v="1"/>
    <n v="0"/>
  </r>
  <r>
    <n v="175"/>
    <s v="lcs_length"/>
    <s v="indexing fault"/>
    <s v="output error"/>
    <s v="base-case impact"/>
    <s v="gpt4-python-with_location"/>
    <n v="0"/>
    <x v="0"/>
    <x v="3"/>
    <n v="0"/>
    <n v="0"/>
    <n v="0"/>
  </r>
  <r>
    <n v="176"/>
    <s v="levenshtein"/>
    <s v="variable assign fault"/>
    <s v="output error"/>
    <s v="base-case impact"/>
    <s v="gpt4-python-with_location"/>
    <n v="1"/>
    <x v="0"/>
    <x v="3"/>
    <n v="1"/>
    <n v="1"/>
    <n v="0"/>
  </r>
  <r>
    <n v="177"/>
    <s v="lis"/>
    <s v="variable assign fault"/>
    <s v="output error"/>
    <s v="base-case impact"/>
    <s v="gpt4-python-with_location"/>
    <n v="1"/>
    <x v="0"/>
    <x v="3"/>
    <n v="1"/>
    <n v="1"/>
    <n v="0"/>
  </r>
  <r>
    <n v="178"/>
    <s v="longest_common_subsequence"/>
    <s v="indexing fault"/>
    <s v="output error"/>
    <s v="edge-case impact"/>
    <s v="gpt4-python-with_location"/>
    <n v="1"/>
    <x v="0"/>
    <x v="3"/>
    <n v="1"/>
    <n v="1"/>
    <n v="0"/>
  </r>
  <r>
    <n v="179"/>
    <s v="max_sublist_sum"/>
    <s v="variable assign fault"/>
    <s v="output error"/>
    <s v="base-case impact"/>
    <s v="gpt4-python-with_location"/>
    <n v="1"/>
    <x v="0"/>
    <x v="3"/>
    <n v="1"/>
    <n v="1"/>
    <n v="0"/>
  </r>
  <r>
    <n v="180"/>
    <s v="mergesort"/>
    <s v="condition fault"/>
    <s v="infinite loop error"/>
    <s v="all-case impact"/>
    <s v="gpt4-python-with_location"/>
    <n v="1"/>
    <x v="0"/>
    <x v="3"/>
    <n v="1"/>
    <n v="1"/>
    <n v="0"/>
  </r>
  <r>
    <n v="181"/>
    <s v="minimum_spanning_tree"/>
    <s v="variable misuse fault"/>
    <s v="runtime error"/>
    <s v="all-case impact"/>
    <s v="gpt4-python-with_location"/>
    <n v="0.66666666666666663"/>
    <x v="0"/>
    <x v="3"/>
    <n v="1"/>
    <n v="0"/>
    <n v="1"/>
  </r>
  <r>
    <n v="182"/>
    <s v="next_palindrome"/>
    <s v="variable assign fault"/>
    <s v="format error"/>
    <s v="edge-case impact"/>
    <s v="gpt4-python-with_location"/>
    <n v="0.33333333333333331"/>
    <x v="0"/>
    <x v="3"/>
    <n v="1"/>
    <n v="0"/>
    <n v="1"/>
  </r>
  <r>
    <n v="183"/>
    <s v="next_permutation"/>
    <s v="condition fault"/>
    <s v="output error"/>
    <s v="all-case impact"/>
    <s v="gpt4-python-with_location"/>
    <n v="1"/>
    <x v="0"/>
    <x v="3"/>
    <n v="1"/>
    <n v="1"/>
    <n v="0"/>
  </r>
  <r>
    <n v="184"/>
    <s v="pascal"/>
    <s v="indexing fault"/>
    <s v="runtime error"/>
    <s v="base-case impact"/>
    <s v="gpt4-python-with_location"/>
    <n v="1"/>
    <x v="0"/>
    <x v="3"/>
    <n v="1"/>
    <n v="1"/>
    <n v="0"/>
  </r>
  <r>
    <n v="185"/>
    <s v="possible_change"/>
    <s v="condition fault"/>
    <s v="runtime error"/>
    <s v="edge-case impact"/>
    <s v="gpt4-python-with_location"/>
    <n v="1"/>
    <x v="0"/>
    <x v="3"/>
    <n v="1"/>
    <n v="1"/>
    <n v="0"/>
  </r>
  <r>
    <n v="186"/>
    <s v="powerset"/>
    <s v="variable assign fault"/>
    <s v="output error"/>
    <s v="base-case impact"/>
    <s v="gpt4-python-with_location"/>
    <n v="1"/>
    <x v="0"/>
    <x v="3"/>
    <n v="1"/>
    <n v="1"/>
    <n v="0"/>
  </r>
  <r>
    <n v="187"/>
    <s v="quicksort"/>
    <s v="condition fault"/>
    <s v="output error"/>
    <s v="edge-case impact"/>
    <s v="gpt4-python-with_location"/>
    <n v="1"/>
    <x v="0"/>
    <x v="3"/>
    <n v="1"/>
    <n v="1"/>
    <n v="0"/>
  </r>
  <r>
    <n v="188"/>
    <s v="reverse_linked_list"/>
    <s v="variable assign missing fault"/>
    <s v="output error"/>
    <s v="all-case impact"/>
    <s v="gpt4-python-with_location"/>
    <n v="1"/>
    <x v="0"/>
    <x v="3"/>
    <n v="1"/>
    <n v="1"/>
    <n v="0"/>
  </r>
  <r>
    <n v="189"/>
    <s v="rpn_eval"/>
    <s v="variable assign fault"/>
    <s v="output error"/>
    <s v="edge-case impact"/>
    <s v="gpt4-python-with_location"/>
    <n v="1"/>
    <x v="0"/>
    <x v="3"/>
    <n v="1"/>
    <n v="1"/>
    <n v="0"/>
  </r>
  <r>
    <n v="190"/>
    <s v="shortest_path_length"/>
    <s v="variable assign fault"/>
    <s v="output error"/>
    <s v="base-case impact"/>
    <s v="gpt4-python-with_location"/>
    <n v="0.66666666666666663"/>
    <x v="0"/>
    <x v="3"/>
    <n v="1"/>
    <n v="0"/>
    <n v="1"/>
  </r>
  <r>
    <n v="191"/>
    <s v="shortest_path_lengths"/>
    <s v="indexing fault"/>
    <s v="output error"/>
    <s v="all-case impact"/>
    <s v="gpt4-python-with_location"/>
    <n v="1"/>
    <x v="0"/>
    <x v="3"/>
    <n v="1"/>
    <n v="1"/>
    <n v="0"/>
  </r>
  <r>
    <n v="192"/>
    <s v="shortest_paths"/>
    <s v="variable misuse fault"/>
    <s v="output error"/>
    <s v="all-case impact"/>
    <s v="gpt4-python-with_location"/>
    <n v="1"/>
    <x v="0"/>
    <x v="3"/>
    <n v="1"/>
    <n v="1"/>
    <n v="0"/>
  </r>
  <r>
    <n v="193"/>
    <s v="shunting_yard"/>
    <s v="variable assign missing fault"/>
    <s v="output error"/>
    <s v="base-case impact"/>
    <s v="gpt4-python-with_location"/>
    <n v="1"/>
    <x v="0"/>
    <x v="3"/>
    <n v="1"/>
    <n v="1"/>
    <n v="0"/>
  </r>
  <r>
    <n v="194"/>
    <s v="sieve"/>
    <s v="condition fault"/>
    <s v="output error"/>
    <s v="base-case impact"/>
    <s v="gpt4-python-with_location"/>
    <n v="1"/>
    <x v="0"/>
    <x v="3"/>
    <n v="1"/>
    <n v="1"/>
    <n v="0"/>
  </r>
  <r>
    <n v="195"/>
    <s v="sqrt"/>
    <s v="condition fault"/>
    <s v="infinite loop error"/>
    <s v="base-case impact"/>
    <s v="gpt4-python-with_location"/>
    <n v="1"/>
    <x v="0"/>
    <x v="3"/>
    <n v="1"/>
    <n v="1"/>
    <n v="0"/>
  </r>
  <r>
    <n v="196"/>
    <s v="subsequences"/>
    <s v="variable assign fault"/>
    <s v="output error"/>
    <s v="edge-case impact"/>
    <s v="gpt4-python-with_location"/>
    <n v="0.33333333333333331"/>
    <x v="0"/>
    <x v="3"/>
    <n v="1"/>
    <n v="0"/>
    <n v="1"/>
  </r>
  <r>
    <n v="197"/>
    <s v="to_base"/>
    <s v="variable assign fault"/>
    <s v="output error"/>
    <s v="base-case impact"/>
    <s v="gpt4-python-with_location"/>
    <n v="1"/>
    <x v="0"/>
    <x v="3"/>
    <n v="1"/>
    <n v="1"/>
    <n v="0"/>
  </r>
  <r>
    <n v="198"/>
    <s v="topological_ordering"/>
    <s v="condition fault"/>
    <s v="output error"/>
    <s v="all-case impact"/>
    <s v="gpt4-python-with_location"/>
    <n v="1"/>
    <x v="0"/>
    <x v="3"/>
    <n v="1"/>
    <n v="1"/>
    <n v="0"/>
  </r>
  <r>
    <n v="199"/>
    <s v="wrap"/>
    <s v="variable assign missing fault"/>
    <s v="format error"/>
    <s v="all-case impact"/>
    <s v="gpt4-python-with_location"/>
    <n v="0"/>
    <x v="0"/>
    <x v="3"/>
    <n v="0"/>
    <n v="0"/>
    <n v="0"/>
  </r>
  <r>
    <n v="200"/>
    <s v="bitcount"/>
    <s v="variable assign fault"/>
    <s v="infinite loop error"/>
    <s v="all-case impact"/>
    <s v="gemini-python-with_lib"/>
    <n v="1"/>
    <x v="1"/>
    <x v="0"/>
    <n v="1"/>
    <n v="1"/>
    <n v="0"/>
  </r>
  <r>
    <n v="201"/>
    <s v="breadth_first_search"/>
    <s v="condition fault"/>
    <s v="infinite loop error"/>
    <s v="edge-case impact"/>
    <s v="gemini-python-with_lib"/>
    <n v="1"/>
    <x v="1"/>
    <x v="0"/>
    <n v="1"/>
    <n v="1"/>
    <n v="0"/>
  </r>
  <r>
    <n v="202"/>
    <s v="bucketsort"/>
    <s v="variable misuse fault"/>
    <s v="output error"/>
    <s v="all-case impact"/>
    <s v="gemini-python-with_lib"/>
    <n v="1"/>
    <x v="1"/>
    <x v="0"/>
    <n v="1"/>
    <n v="1"/>
    <n v="0"/>
  </r>
  <r>
    <n v="203"/>
    <s v="depth_first_search"/>
    <s v="variable misuse fault"/>
    <s v="infinite loop error"/>
    <s v="edge-case impact"/>
    <s v="gemini-python-with_lib"/>
    <n v="1"/>
    <x v="1"/>
    <x v="0"/>
    <n v="1"/>
    <n v="1"/>
    <n v="0"/>
  </r>
  <r>
    <n v="204"/>
    <s v="detect_cycle"/>
    <s v="condition fault"/>
    <s v="runtime error"/>
    <s v="edge-case impact"/>
    <s v="gemini-python-with_lib"/>
    <n v="0.66666666666666663"/>
    <x v="1"/>
    <x v="0"/>
    <n v="1"/>
    <n v="0"/>
    <n v="1"/>
  </r>
  <r>
    <n v="205"/>
    <s v="find_first_in_sorted"/>
    <s v="condition fault"/>
    <s v="infinite loop error"/>
    <s v="edge-case impact"/>
    <s v="gemini-python-with_lib"/>
    <n v="1"/>
    <x v="1"/>
    <x v="0"/>
    <n v="1"/>
    <n v="1"/>
    <n v="0"/>
  </r>
  <r>
    <n v="206"/>
    <s v="find_in_sorted"/>
    <s v="indexing fault"/>
    <s v="infinite loop error"/>
    <s v="edge-case impact"/>
    <s v="gemini-python-with_lib"/>
    <n v="0.66666666666666663"/>
    <x v="1"/>
    <x v="0"/>
    <n v="1"/>
    <n v="0"/>
    <n v="1"/>
  </r>
  <r>
    <n v="207"/>
    <s v="flatten"/>
    <s v="variable misuse fault"/>
    <s v="format error"/>
    <s v="base-case impact"/>
    <s v="gemini-python-with_lib"/>
    <n v="1"/>
    <x v="1"/>
    <x v="0"/>
    <n v="1"/>
    <n v="1"/>
    <n v="0"/>
  </r>
  <r>
    <n v="208"/>
    <s v="gcd"/>
    <s v="variable misuse fault"/>
    <s v="infinite loop error"/>
    <s v="base-case impact"/>
    <s v="gemini-python-with_lib"/>
    <n v="1"/>
    <x v="1"/>
    <x v="0"/>
    <n v="1"/>
    <n v="1"/>
    <n v="0"/>
  </r>
  <r>
    <n v="209"/>
    <s v="get_factors"/>
    <s v="variable assign fault"/>
    <s v="output error"/>
    <s v="base-case impact"/>
    <s v="gemini-python-with_lib"/>
    <n v="0"/>
    <x v="1"/>
    <x v="0"/>
    <n v="0"/>
    <n v="0"/>
    <n v="0"/>
  </r>
  <r>
    <n v="210"/>
    <s v="hanoi"/>
    <s v="variable misuse fault"/>
    <s v="output error"/>
    <s v="all-case impact"/>
    <s v="gemini-python-with_lib"/>
    <n v="0.66666666666666663"/>
    <x v="1"/>
    <x v="0"/>
    <n v="1"/>
    <n v="0"/>
    <n v="1"/>
  </r>
  <r>
    <n v="211"/>
    <s v="is_valid_parenthesization"/>
    <s v="variable assign fault"/>
    <s v="output error"/>
    <s v="edge-case impact"/>
    <s v="gemini-python-with_lib"/>
    <n v="1"/>
    <x v="1"/>
    <x v="0"/>
    <n v="1"/>
    <n v="1"/>
    <n v="0"/>
  </r>
  <r>
    <n v="212"/>
    <s v="kheapsort"/>
    <s v="indexing fault"/>
    <s v="output error"/>
    <s v="base-case impact"/>
    <s v="gemini-python-with_lib"/>
    <n v="0.66666666666666663"/>
    <x v="1"/>
    <x v="0"/>
    <n v="1"/>
    <n v="0"/>
    <n v="1"/>
  </r>
  <r>
    <n v="213"/>
    <s v="knapsack"/>
    <s v="condition fault"/>
    <s v="output error"/>
    <s v="edge-case impact"/>
    <s v="gemini-python-with_lib"/>
    <n v="0.33333333333333331"/>
    <x v="1"/>
    <x v="0"/>
    <n v="1"/>
    <n v="0"/>
    <n v="1"/>
  </r>
  <r>
    <n v="214"/>
    <s v="kth"/>
    <s v="variable assign fault"/>
    <s v="runtime error"/>
    <s v="base-case impact"/>
    <s v="gemini-python-with_lib"/>
    <n v="0"/>
    <x v="1"/>
    <x v="0"/>
    <n v="0"/>
    <n v="0"/>
    <n v="0"/>
  </r>
  <r>
    <n v="215"/>
    <s v="lcs_length"/>
    <s v="indexing fault"/>
    <s v="output error"/>
    <s v="base-case impact"/>
    <s v="gemini-python-with_lib"/>
    <n v="1"/>
    <x v="1"/>
    <x v="0"/>
    <n v="1"/>
    <n v="1"/>
    <n v="0"/>
  </r>
  <r>
    <n v="216"/>
    <s v="levenshtein"/>
    <s v="variable assign fault"/>
    <s v="output error"/>
    <s v="base-case impact"/>
    <s v="gemini-python-with_lib"/>
    <n v="0.66666666666666663"/>
    <x v="1"/>
    <x v="0"/>
    <n v="1"/>
    <n v="0"/>
    <n v="1"/>
  </r>
  <r>
    <n v="217"/>
    <s v="lis"/>
    <s v="variable assign fault"/>
    <s v="output error"/>
    <s v="base-case impact"/>
    <s v="gemini-python-with_lib"/>
    <n v="0.33333333333333331"/>
    <x v="1"/>
    <x v="0"/>
    <n v="1"/>
    <n v="0"/>
    <n v="1"/>
  </r>
  <r>
    <n v="218"/>
    <s v="longest_common_subsequence"/>
    <s v="indexing fault"/>
    <s v="output error"/>
    <s v="edge-case impact"/>
    <s v="gemini-python-with_lib"/>
    <n v="1"/>
    <x v="1"/>
    <x v="0"/>
    <n v="1"/>
    <n v="1"/>
    <n v="0"/>
  </r>
  <r>
    <n v="219"/>
    <s v="max_sublist_sum"/>
    <s v="variable assign fault"/>
    <s v="output error"/>
    <s v="base-case impact"/>
    <s v="gemini-python-with_lib"/>
    <n v="0"/>
    <x v="1"/>
    <x v="0"/>
    <n v="0"/>
    <n v="0"/>
    <n v="0"/>
  </r>
  <r>
    <n v="220"/>
    <s v="mergesort"/>
    <s v="condition fault"/>
    <s v="infinite loop error"/>
    <s v="all-case impact"/>
    <s v="gemini-python-with_lib"/>
    <n v="1"/>
    <x v="1"/>
    <x v="0"/>
    <n v="1"/>
    <n v="1"/>
    <n v="0"/>
  </r>
  <r>
    <n v="221"/>
    <s v="minimum_spanning_tree"/>
    <s v="variable misuse fault"/>
    <s v="runtime error"/>
    <s v="all-case impact"/>
    <s v="gemini-python-with_lib"/>
    <n v="1"/>
    <x v="1"/>
    <x v="0"/>
    <n v="1"/>
    <n v="1"/>
    <n v="0"/>
  </r>
  <r>
    <n v="222"/>
    <s v="next_palindrome"/>
    <s v="variable assign fault"/>
    <s v="format error"/>
    <s v="edge-case impact"/>
    <s v="gemini-python-with_lib"/>
    <n v="0"/>
    <x v="1"/>
    <x v="0"/>
    <n v="0"/>
    <n v="0"/>
    <n v="0"/>
  </r>
  <r>
    <n v="223"/>
    <s v="next_permutation"/>
    <s v="condition fault"/>
    <s v="output error"/>
    <s v="all-case impact"/>
    <s v="gemini-python-with_lib"/>
    <n v="1"/>
    <x v="1"/>
    <x v="0"/>
    <n v="1"/>
    <n v="1"/>
    <n v="0"/>
  </r>
  <r>
    <n v="224"/>
    <s v="pascal"/>
    <s v="indexing fault"/>
    <s v="runtime error"/>
    <s v="base-case impact"/>
    <s v="gemini-python-with_lib"/>
    <n v="1"/>
    <x v="1"/>
    <x v="0"/>
    <n v="1"/>
    <n v="1"/>
    <n v="0"/>
  </r>
  <r>
    <n v="225"/>
    <s v="possible_change"/>
    <s v="condition fault"/>
    <s v="runtime error"/>
    <s v="edge-case impact"/>
    <s v="gemini-python-with_lib"/>
    <n v="1"/>
    <x v="1"/>
    <x v="0"/>
    <n v="1"/>
    <n v="1"/>
    <n v="0"/>
  </r>
  <r>
    <n v="226"/>
    <s v="powerset"/>
    <s v="variable assign fault"/>
    <s v="output error"/>
    <s v="base-case impact"/>
    <s v="gemini-python-with_lib"/>
    <n v="1"/>
    <x v="1"/>
    <x v="0"/>
    <n v="1"/>
    <n v="1"/>
    <n v="0"/>
  </r>
  <r>
    <n v="227"/>
    <s v="quicksort"/>
    <s v="condition fault"/>
    <s v="output error"/>
    <s v="edge-case impact"/>
    <s v="gemini-python-with_lib"/>
    <n v="0.66666666666666663"/>
    <x v="1"/>
    <x v="0"/>
    <n v="1"/>
    <n v="0"/>
    <n v="1"/>
  </r>
  <r>
    <n v="228"/>
    <s v="reverse_linked_list"/>
    <s v="variable assign missing fault"/>
    <s v="output error"/>
    <s v="all-case impact"/>
    <s v="gemini-python-with_lib"/>
    <n v="1"/>
    <x v="1"/>
    <x v="0"/>
    <n v="1"/>
    <n v="1"/>
    <n v="0"/>
  </r>
  <r>
    <n v="229"/>
    <s v="rpn_eval"/>
    <s v="variable assign fault"/>
    <s v="output error"/>
    <s v="edge-case impact"/>
    <s v="gemini-python-with_lib"/>
    <n v="0"/>
    <x v="1"/>
    <x v="0"/>
    <n v="0"/>
    <n v="0"/>
    <n v="0"/>
  </r>
  <r>
    <n v="230"/>
    <s v="shortest_path_length"/>
    <s v="variable assign fault"/>
    <s v="output error"/>
    <s v="base-case impact"/>
    <s v="gemini-python-with_lib"/>
    <n v="0.66666666666666663"/>
    <x v="1"/>
    <x v="0"/>
    <n v="1"/>
    <n v="0"/>
    <n v="1"/>
  </r>
  <r>
    <n v="231"/>
    <s v="shortest_path_lengths"/>
    <s v="indexing fault"/>
    <s v="output error"/>
    <s v="all-case impact"/>
    <s v="gemini-python-with_lib"/>
    <n v="0.33333333333333331"/>
    <x v="1"/>
    <x v="0"/>
    <n v="1"/>
    <n v="0"/>
    <n v="1"/>
  </r>
  <r>
    <n v="232"/>
    <s v="shortest_paths"/>
    <s v="variable misuse fault"/>
    <s v="output error"/>
    <s v="all-case impact"/>
    <s v="gemini-python-with_lib"/>
    <n v="0.66666666666666663"/>
    <x v="1"/>
    <x v="0"/>
    <n v="1"/>
    <n v="0"/>
    <n v="1"/>
  </r>
  <r>
    <n v="233"/>
    <s v="shunting_yard"/>
    <s v="variable assign missing fault"/>
    <s v="output error"/>
    <s v="base-case impact"/>
    <s v="gemini-python-with_lib"/>
    <n v="1"/>
    <x v="1"/>
    <x v="0"/>
    <n v="1"/>
    <n v="1"/>
    <n v="0"/>
  </r>
  <r>
    <n v="234"/>
    <s v="sieve"/>
    <s v="condition fault"/>
    <s v="output error"/>
    <s v="base-case impact"/>
    <s v="gemini-python-with_lib"/>
    <n v="1"/>
    <x v="1"/>
    <x v="0"/>
    <n v="1"/>
    <n v="1"/>
    <n v="0"/>
  </r>
  <r>
    <n v="235"/>
    <s v="sqrt"/>
    <s v="condition fault"/>
    <s v="infinite loop error"/>
    <s v="base-case impact"/>
    <s v="gemini-python-with_lib"/>
    <n v="1"/>
    <x v="1"/>
    <x v="0"/>
    <n v="1"/>
    <n v="1"/>
    <n v="0"/>
  </r>
  <r>
    <n v="236"/>
    <s v="subsequences"/>
    <s v="variable assign fault"/>
    <s v="output error"/>
    <s v="edge-case impact"/>
    <s v="gemini-python-with_lib"/>
    <n v="1"/>
    <x v="1"/>
    <x v="0"/>
    <n v="1"/>
    <n v="1"/>
    <n v="0"/>
  </r>
  <r>
    <n v="237"/>
    <s v="to_base"/>
    <s v="variable assign fault"/>
    <s v="output error"/>
    <s v="base-case impact"/>
    <s v="gemini-python-with_lib"/>
    <n v="1"/>
    <x v="1"/>
    <x v="0"/>
    <n v="1"/>
    <n v="1"/>
    <n v="0"/>
  </r>
  <r>
    <n v="238"/>
    <s v="topological_ordering"/>
    <s v="condition fault"/>
    <s v="output error"/>
    <s v="all-case impact"/>
    <s v="gemini-python-with_lib"/>
    <n v="0"/>
    <x v="1"/>
    <x v="0"/>
    <n v="0"/>
    <n v="0"/>
    <n v="0"/>
  </r>
  <r>
    <n v="239"/>
    <s v="wrap"/>
    <s v="variable assign missing fault"/>
    <s v="format error"/>
    <s v="all-case impact"/>
    <s v="gemini-python-with_lib"/>
    <n v="0.33333333333333331"/>
    <x v="1"/>
    <x v="0"/>
    <n v="1"/>
    <n v="0"/>
    <n v="1"/>
  </r>
  <r>
    <n v="240"/>
    <s v="bitcount"/>
    <s v="variable assign fault"/>
    <s v="infinite loop error"/>
    <s v="all-case impact"/>
    <s v="claude-python-with_location"/>
    <n v="1"/>
    <x v="0"/>
    <x v="2"/>
    <n v="1"/>
    <n v="1"/>
    <n v="0"/>
  </r>
  <r>
    <n v="241"/>
    <s v="breadth_first_search"/>
    <s v="condition fault"/>
    <s v="infinite loop error"/>
    <s v="edge-case impact"/>
    <s v="claude-python-with_location"/>
    <n v="1"/>
    <x v="0"/>
    <x v="2"/>
    <n v="1"/>
    <n v="1"/>
    <n v="0"/>
  </r>
  <r>
    <n v="242"/>
    <s v="bucketsort"/>
    <s v="variable misuse fault"/>
    <s v="output error"/>
    <s v="all-case impact"/>
    <s v="claude-python-with_location"/>
    <n v="1"/>
    <x v="0"/>
    <x v="2"/>
    <n v="1"/>
    <n v="1"/>
    <n v="0"/>
  </r>
  <r>
    <n v="243"/>
    <s v="depth_first_search"/>
    <s v="variable misuse fault"/>
    <s v="infinite loop error"/>
    <s v="edge-case impact"/>
    <s v="claude-python-with_location"/>
    <n v="1"/>
    <x v="0"/>
    <x v="2"/>
    <n v="1"/>
    <n v="1"/>
    <n v="0"/>
  </r>
  <r>
    <n v="244"/>
    <s v="detect_cycle"/>
    <s v="condition fault"/>
    <s v="runtime error"/>
    <s v="edge-case impact"/>
    <s v="claude-python-with_location"/>
    <n v="1"/>
    <x v="0"/>
    <x v="2"/>
    <n v="1"/>
    <n v="1"/>
    <n v="0"/>
  </r>
  <r>
    <n v="245"/>
    <s v="find_first_in_sorted"/>
    <s v="condition fault"/>
    <s v="infinite loop error"/>
    <s v="edge-case impact"/>
    <s v="claude-python-with_location"/>
    <n v="1"/>
    <x v="0"/>
    <x v="2"/>
    <n v="1"/>
    <n v="1"/>
    <n v="0"/>
  </r>
  <r>
    <n v="246"/>
    <s v="find_in_sorted"/>
    <s v="indexing fault"/>
    <s v="infinite loop error"/>
    <s v="edge-case impact"/>
    <s v="claude-python-with_location"/>
    <n v="1"/>
    <x v="0"/>
    <x v="2"/>
    <n v="1"/>
    <n v="1"/>
    <n v="0"/>
  </r>
  <r>
    <n v="247"/>
    <s v="flatten"/>
    <s v="variable misuse fault"/>
    <s v="format error"/>
    <s v="base-case impact"/>
    <s v="claude-python-with_location"/>
    <n v="1"/>
    <x v="0"/>
    <x v="2"/>
    <n v="1"/>
    <n v="1"/>
    <n v="0"/>
  </r>
  <r>
    <n v="248"/>
    <s v="gcd"/>
    <s v="variable misuse fault"/>
    <s v="infinite loop error"/>
    <s v="base-case impact"/>
    <s v="claude-python-with_location"/>
    <n v="1"/>
    <x v="0"/>
    <x v="2"/>
    <n v="1"/>
    <n v="1"/>
    <n v="0"/>
  </r>
  <r>
    <n v="249"/>
    <s v="get_factors"/>
    <s v="variable assign fault"/>
    <s v="output error"/>
    <s v="base-case impact"/>
    <s v="claude-python-with_location"/>
    <n v="1"/>
    <x v="0"/>
    <x v="2"/>
    <n v="1"/>
    <n v="1"/>
    <n v="0"/>
  </r>
  <r>
    <n v="250"/>
    <s v="hanoi"/>
    <s v="variable misuse fault"/>
    <s v="output error"/>
    <s v="all-case impact"/>
    <s v="claude-python-with_location"/>
    <n v="1"/>
    <x v="0"/>
    <x v="2"/>
    <n v="1"/>
    <n v="1"/>
    <n v="0"/>
  </r>
  <r>
    <n v="251"/>
    <s v="is_valid_parenthesization"/>
    <s v="variable assign fault"/>
    <s v="output error"/>
    <s v="edge-case impact"/>
    <s v="claude-python-with_location"/>
    <n v="1"/>
    <x v="0"/>
    <x v="2"/>
    <n v="1"/>
    <n v="1"/>
    <n v="0"/>
  </r>
  <r>
    <n v="252"/>
    <s v="kheapsort"/>
    <s v="indexing fault"/>
    <s v="output error"/>
    <s v="base-case impact"/>
    <s v="claude-python-with_location"/>
    <n v="1"/>
    <x v="0"/>
    <x v="2"/>
    <n v="1"/>
    <n v="1"/>
    <n v="0"/>
  </r>
  <r>
    <n v="253"/>
    <s v="knapsack"/>
    <s v="condition fault"/>
    <s v="output error"/>
    <s v="edge-case impact"/>
    <s v="claude-python-with_location"/>
    <n v="1"/>
    <x v="0"/>
    <x v="2"/>
    <n v="1"/>
    <n v="1"/>
    <n v="0"/>
  </r>
  <r>
    <n v="254"/>
    <s v="kth"/>
    <s v="variable assign fault"/>
    <s v="runtime error"/>
    <s v="base-case impact"/>
    <s v="claude-python-with_location"/>
    <n v="1"/>
    <x v="0"/>
    <x v="2"/>
    <n v="1"/>
    <n v="1"/>
    <n v="0"/>
  </r>
  <r>
    <n v="255"/>
    <s v="lcs_length"/>
    <s v="indexing fault"/>
    <s v="output error"/>
    <s v="base-case impact"/>
    <s v="claude-python-with_location"/>
    <n v="1"/>
    <x v="0"/>
    <x v="2"/>
    <n v="1"/>
    <n v="1"/>
    <n v="0"/>
  </r>
  <r>
    <n v="256"/>
    <s v="levenshtein"/>
    <s v="variable assign fault"/>
    <s v="output error"/>
    <s v="base-case impact"/>
    <s v="claude-python-with_location"/>
    <n v="1"/>
    <x v="0"/>
    <x v="2"/>
    <n v="1"/>
    <n v="1"/>
    <n v="0"/>
  </r>
  <r>
    <n v="257"/>
    <s v="lis"/>
    <s v="variable assign fault"/>
    <s v="output error"/>
    <s v="base-case impact"/>
    <s v="claude-python-with_location"/>
    <n v="1"/>
    <x v="0"/>
    <x v="2"/>
    <n v="1"/>
    <n v="1"/>
    <n v="0"/>
  </r>
  <r>
    <n v="258"/>
    <s v="longest_common_subsequence"/>
    <s v="indexing fault"/>
    <s v="output error"/>
    <s v="edge-case impact"/>
    <s v="claude-python-with_location"/>
    <n v="1"/>
    <x v="0"/>
    <x v="2"/>
    <n v="1"/>
    <n v="1"/>
    <n v="0"/>
  </r>
  <r>
    <n v="259"/>
    <s v="max_sublist_sum"/>
    <s v="variable assign fault"/>
    <s v="output error"/>
    <s v="base-case impact"/>
    <s v="claude-python-with_location"/>
    <n v="1"/>
    <x v="0"/>
    <x v="2"/>
    <n v="1"/>
    <n v="1"/>
    <n v="0"/>
  </r>
  <r>
    <n v="260"/>
    <s v="mergesort"/>
    <s v="condition fault"/>
    <s v="infinite loop error"/>
    <s v="all-case impact"/>
    <s v="claude-python-with_location"/>
    <n v="1"/>
    <x v="0"/>
    <x v="2"/>
    <n v="1"/>
    <n v="1"/>
    <n v="0"/>
  </r>
  <r>
    <n v="261"/>
    <s v="minimum_spanning_tree"/>
    <s v="variable misuse fault"/>
    <s v="runtime error"/>
    <s v="all-case impact"/>
    <s v="claude-python-with_location"/>
    <n v="1"/>
    <x v="0"/>
    <x v="2"/>
    <n v="1"/>
    <n v="1"/>
    <n v="0"/>
  </r>
  <r>
    <n v="262"/>
    <s v="next_palindrome"/>
    <s v="variable assign fault"/>
    <s v="format error"/>
    <s v="edge-case impact"/>
    <s v="claude-python-with_location"/>
    <n v="0.66666666666666663"/>
    <x v="0"/>
    <x v="2"/>
    <n v="1"/>
    <n v="0"/>
    <n v="1"/>
  </r>
  <r>
    <n v="263"/>
    <s v="next_permutation"/>
    <s v="condition fault"/>
    <s v="output error"/>
    <s v="all-case impact"/>
    <s v="claude-python-with_location"/>
    <n v="1"/>
    <x v="0"/>
    <x v="2"/>
    <n v="1"/>
    <n v="1"/>
    <n v="0"/>
  </r>
  <r>
    <n v="264"/>
    <s v="pascal"/>
    <s v="indexing fault"/>
    <s v="runtime error"/>
    <s v="base-case impact"/>
    <s v="claude-python-with_location"/>
    <n v="1"/>
    <x v="0"/>
    <x v="2"/>
    <n v="1"/>
    <n v="1"/>
    <n v="0"/>
  </r>
  <r>
    <n v="265"/>
    <s v="possible_change"/>
    <s v="condition fault"/>
    <s v="runtime error"/>
    <s v="edge-case impact"/>
    <s v="claude-python-with_location"/>
    <n v="1"/>
    <x v="0"/>
    <x v="2"/>
    <n v="1"/>
    <n v="1"/>
    <n v="0"/>
  </r>
  <r>
    <n v="266"/>
    <s v="powerset"/>
    <s v="variable assign fault"/>
    <s v="output error"/>
    <s v="base-case impact"/>
    <s v="claude-python-with_location"/>
    <n v="1"/>
    <x v="0"/>
    <x v="2"/>
    <n v="1"/>
    <n v="1"/>
    <n v="0"/>
  </r>
  <r>
    <n v="267"/>
    <s v="quicksort"/>
    <s v="condition fault"/>
    <s v="output error"/>
    <s v="edge-case impact"/>
    <s v="claude-python-with_location"/>
    <n v="0.66666666666666663"/>
    <x v="0"/>
    <x v="2"/>
    <n v="1"/>
    <n v="0"/>
    <n v="1"/>
  </r>
  <r>
    <n v="268"/>
    <s v="reverse_linked_list"/>
    <s v="variable assign missing fault"/>
    <s v="output error"/>
    <s v="all-case impact"/>
    <s v="claude-python-with_location"/>
    <n v="1"/>
    <x v="0"/>
    <x v="2"/>
    <n v="1"/>
    <n v="1"/>
    <n v="0"/>
  </r>
  <r>
    <n v="269"/>
    <s v="rpn_eval"/>
    <s v="variable assign fault"/>
    <s v="output error"/>
    <s v="edge-case impact"/>
    <s v="claude-python-with_location"/>
    <n v="1"/>
    <x v="0"/>
    <x v="2"/>
    <n v="1"/>
    <n v="1"/>
    <n v="0"/>
  </r>
  <r>
    <n v="270"/>
    <s v="shortest_path_length"/>
    <s v="variable assign fault"/>
    <s v="output error"/>
    <s v="base-case impact"/>
    <s v="claude-python-with_location"/>
    <n v="1"/>
    <x v="0"/>
    <x v="2"/>
    <n v="1"/>
    <n v="1"/>
    <n v="0"/>
  </r>
  <r>
    <n v="271"/>
    <s v="shortest_path_lengths"/>
    <s v="indexing fault"/>
    <s v="output error"/>
    <s v="all-case impact"/>
    <s v="claude-python-with_location"/>
    <n v="1"/>
    <x v="0"/>
    <x v="2"/>
    <n v="1"/>
    <n v="1"/>
    <n v="0"/>
  </r>
  <r>
    <n v="272"/>
    <s v="shortest_paths"/>
    <s v="variable misuse fault"/>
    <s v="output error"/>
    <s v="all-case impact"/>
    <s v="claude-python-with_location"/>
    <n v="1"/>
    <x v="0"/>
    <x v="2"/>
    <n v="1"/>
    <n v="1"/>
    <n v="0"/>
  </r>
  <r>
    <n v="273"/>
    <s v="shunting_yard"/>
    <s v="variable assign missing fault"/>
    <s v="output error"/>
    <s v="base-case impact"/>
    <s v="claude-python-with_location"/>
    <n v="1"/>
    <x v="0"/>
    <x v="2"/>
    <n v="1"/>
    <n v="1"/>
    <n v="0"/>
  </r>
  <r>
    <n v="274"/>
    <s v="sieve"/>
    <s v="condition fault"/>
    <s v="output error"/>
    <s v="base-case impact"/>
    <s v="claude-python-with_location"/>
    <n v="1"/>
    <x v="0"/>
    <x v="2"/>
    <n v="1"/>
    <n v="1"/>
    <n v="0"/>
  </r>
  <r>
    <n v="275"/>
    <s v="sqrt"/>
    <s v="condition fault"/>
    <s v="infinite loop error"/>
    <s v="base-case impact"/>
    <s v="claude-python-with_location"/>
    <n v="1"/>
    <x v="0"/>
    <x v="2"/>
    <n v="1"/>
    <n v="1"/>
    <n v="0"/>
  </r>
  <r>
    <n v="276"/>
    <s v="subsequences"/>
    <s v="variable assign fault"/>
    <s v="output error"/>
    <s v="edge-case impact"/>
    <s v="claude-python-with_location"/>
    <n v="1"/>
    <x v="0"/>
    <x v="2"/>
    <n v="1"/>
    <n v="1"/>
    <n v="0"/>
  </r>
  <r>
    <n v="277"/>
    <s v="to_base"/>
    <s v="variable assign fault"/>
    <s v="output error"/>
    <s v="base-case impact"/>
    <s v="claude-python-with_location"/>
    <n v="1"/>
    <x v="0"/>
    <x v="2"/>
    <n v="1"/>
    <n v="1"/>
    <n v="0"/>
  </r>
  <r>
    <n v="278"/>
    <s v="topological_ordering"/>
    <s v="condition fault"/>
    <s v="output error"/>
    <s v="all-case impact"/>
    <s v="claude-python-with_location"/>
    <n v="1"/>
    <x v="0"/>
    <x v="2"/>
    <n v="1"/>
    <n v="1"/>
    <n v="0"/>
  </r>
  <r>
    <n v="279"/>
    <s v="wrap"/>
    <s v="variable assign missing fault"/>
    <s v="format error"/>
    <s v="all-case impact"/>
    <s v="claude-python-with_location"/>
    <n v="0"/>
    <x v="0"/>
    <x v="2"/>
    <n v="0"/>
    <n v="0"/>
    <n v="0"/>
  </r>
  <r>
    <n v="280"/>
    <s v="bitcount"/>
    <s v="variable assign fault"/>
    <s v="infinite loop error"/>
    <s v="all-case impact"/>
    <s v="gpt4-python-with_lib"/>
    <n v="1"/>
    <x v="1"/>
    <x v="3"/>
    <n v="1"/>
    <n v="1"/>
    <n v="0"/>
  </r>
  <r>
    <n v="281"/>
    <s v="breadth_first_search"/>
    <s v="condition fault"/>
    <s v="infinite loop error"/>
    <s v="edge-case impact"/>
    <s v="gpt4-python-with_lib"/>
    <n v="1"/>
    <x v="1"/>
    <x v="3"/>
    <n v="1"/>
    <n v="1"/>
    <n v="0"/>
  </r>
  <r>
    <n v="282"/>
    <s v="bucketsort"/>
    <s v="variable misuse fault"/>
    <s v="output error"/>
    <s v="all-case impact"/>
    <s v="gpt4-python-with_lib"/>
    <n v="1"/>
    <x v="1"/>
    <x v="3"/>
    <n v="1"/>
    <n v="1"/>
    <n v="0"/>
  </r>
  <r>
    <n v="283"/>
    <s v="depth_first_search"/>
    <s v="variable misuse fault"/>
    <s v="infinite loop error"/>
    <s v="edge-case impact"/>
    <s v="gpt4-python-with_lib"/>
    <n v="0.33333333333333331"/>
    <x v="1"/>
    <x v="3"/>
    <n v="1"/>
    <n v="0"/>
    <n v="1"/>
  </r>
  <r>
    <n v="284"/>
    <s v="detect_cycle"/>
    <s v="condition fault"/>
    <s v="runtime error"/>
    <s v="edge-case impact"/>
    <s v="gpt4-python-with_lib"/>
    <n v="1"/>
    <x v="1"/>
    <x v="3"/>
    <n v="1"/>
    <n v="1"/>
    <n v="0"/>
  </r>
  <r>
    <n v="285"/>
    <s v="find_first_in_sorted"/>
    <s v="condition fault"/>
    <s v="infinite loop error"/>
    <s v="edge-case impact"/>
    <s v="gpt4-python-with_lib"/>
    <n v="1"/>
    <x v="1"/>
    <x v="3"/>
    <n v="1"/>
    <n v="1"/>
    <n v="0"/>
  </r>
  <r>
    <n v="286"/>
    <s v="find_in_sorted"/>
    <s v="indexing fault"/>
    <s v="infinite loop error"/>
    <s v="edge-case impact"/>
    <s v="gpt4-python-with_lib"/>
    <n v="1"/>
    <x v="1"/>
    <x v="3"/>
    <n v="1"/>
    <n v="1"/>
    <n v="0"/>
  </r>
  <r>
    <n v="287"/>
    <s v="flatten"/>
    <s v="variable misuse fault"/>
    <s v="format error"/>
    <s v="base-case impact"/>
    <s v="gpt4-python-with_lib"/>
    <n v="1"/>
    <x v="1"/>
    <x v="3"/>
    <n v="1"/>
    <n v="1"/>
    <n v="0"/>
  </r>
  <r>
    <n v="288"/>
    <s v="gcd"/>
    <s v="variable misuse fault"/>
    <s v="infinite loop error"/>
    <s v="base-case impact"/>
    <s v="gpt4-python-with_lib"/>
    <n v="1"/>
    <x v="1"/>
    <x v="3"/>
    <n v="1"/>
    <n v="1"/>
    <n v="0"/>
  </r>
  <r>
    <n v="289"/>
    <s v="get_factors"/>
    <s v="variable assign fault"/>
    <s v="output error"/>
    <s v="base-case impact"/>
    <s v="gpt4-python-with_lib"/>
    <n v="1"/>
    <x v="1"/>
    <x v="3"/>
    <n v="1"/>
    <n v="1"/>
    <n v="0"/>
  </r>
  <r>
    <n v="290"/>
    <s v="hanoi"/>
    <s v="variable misuse fault"/>
    <s v="output error"/>
    <s v="all-case impact"/>
    <s v="gpt4-python-with_lib"/>
    <n v="1"/>
    <x v="1"/>
    <x v="3"/>
    <n v="1"/>
    <n v="1"/>
    <n v="0"/>
  </r>
  <r>
    <n v="291"/>
    <s v="is_valid_parenthesization"/>
    <s v="variable assign fault"/>
    <s v="output error"/>
    <s v="edge-case impact"/>
    <s v="gpt4-python-with_lib"/>
    <n v="1"/>
    <x v="1"/>
    <x v="3"/>
    <n v="1"/>
    <n v="1"/>
    <n v="0"/>
  </r>
  <r>
    <n v="292"/>
    <s v="kheapsort"/>
    <s v="indexing fault"/>
    <s v="output error"/>
    <s v="base-case impact"/>
    <s v="gpt4-python-with_lib"/>
    <n v="0.66666666666666663"/>
    <x v="1"/>
    <x v="3"/>
    <n v="1"/>
    <n v="0"/>
    <n v="1"/>
  </r>
  <r>
    <n v="293"/>
    <s v="knapsack"/>
    <s v="condition fault"/>
    <s v="output error"/>
    <s v="edge-case impact"/>
    <s v="gpt4-python-with_lib"/>
    <n v="1"/>
    <x v="1"/>
    <x v="3"/>
    <n v="1"/>
    <n v="1"/>
    <n v="0"/>
  </r>
  <r>
    <n v="294"/>
    <s v="kth"/>
    <s v="variable assign fault"/>
    <s v="runtime error"/>
    <s v="base-case impact"/>
    <s v="gpt4-python-with_lib"/>
    <n v="1"/>
    <x v="1"/>
    <x v="3"/>
    <n v="1"/>
    <n v="1"/>
    <n v="0"/>
  </r>
  <r>
    <n v="295"/>
    <s v="lcs_length"/>
    <s v="indexing fault"/>
    <s v="output error"/>
    <s v="base-case impact"/>
    <s v="gpt4-python-with_lib"/>
    <n v="0"/>
    <x v="1"/>
    <x v="3"/>
    <n v="0"/>
    <n v="0"/>
    <n v="0"/>
  </r>
  <r>
    <n v="296"/>
    <s v="levenshtein"/>
    <s v="variable assign fault"/>
    <s v="output error"/>
    <s v="base-case impact"/>
    <s v="gpt4-python-with_lib"/>
    <n v="1"/>
    <x v="1"/>
    <x v="3"/>
    <n v="1"/>
    <n v="1"/>
    <n v="0"/>
  </r>
  <r>
    <n v="297"/>
    <s v="lis"/>
    <s v="variable assign fault"/>
    <s v="output error"/>
    <s v="base-case impact"/>
    <s v="gpt4-python-with_lib"/>
    <n v="0.66666666666666663"/>
    <x v="1"/>
    <x v="3"/>
    <n v="1"/>
    <n v="0"/>
    <n v="1"/>
  </r>
  <r>
    <n v="298"/>
    <s v="longest_common_subsequence"/>
    <s v="indexing fault"/>
    <s v="output error"/>
    <s v="edge-case impact"/>
    <s v="gpt4-python-with_lib"/>
    <n v="1"/>
    <x v="1"/>
    <x v="3"/>
    <n v="1"/>
    <n v="1"/>
    <n v="0"/>
  </r>
  <r>
    <n v="299"/>
    <s v="max_sublist_sum"/>
    <s v="variable assign fault"/>
    <s v="output error"/>
    <s v="base-case impact"/>
    <s v="gpt4-python-with_lib"/>
    <n v="0"/>
    <x v="1"/>
    <x v="3"/>
    <n v="0"/>
    <n v="0"/>
    <n v="0"/>
  </r>
  <r>
    <n v="300"/>
    <s v="mergesort"/>
    <s v="condition fault"/>
    <s v="infinite loop error"/>
    <s v="all-case impact"/>
    <s v="gpt4-python-with_lib"/>
    <n v="1"/>
    <x v="1"/>
    <x v="3"/>
    <n v="1"/>
    <n v="1"/>
    <n v="0"/>
  </r>
  <r>
    <n v="301"/>
    <s v="minimum_spanning_tree"/>
    <s v="variable misuse fault"/>
    <s v="runtime error"/>
    <s v="all-case impact"/>
    <s v="gpt4-python-with_lib"/>
    <n v="1"/>
    <x v="1"/>
    <x v="3"/>
    <n v="1"/>
    <n v="1"/>
    <n v="0"/>
  </r>
  <r>
    <n v="302"/>
    <s v="next_palindrome"/>
    <s v="variable assign fault"/>
    <s v="format error"/>
    <s v="edge-case impact"/>
    <s v="gpt4-python-with_lib"/>
    <n v="0.66666666666666663"/>
    <x v="1"/>
    <x v="3"/>
    <n v="1"/>
    <n v="0"/>
    <n v="1"/>
  </r>
  <r>
    <n v="303"/>
    <s v="next_permutation"/>
    <s v="condition fault"/>
    <s v="output error"/>
    <s v="all-case impact"/>
    <s v="gpt4-python-with_lib"/>
    <n v="1"/>
    <x v="1"/>
    <x v="3"/>
    <n v="1"/>
    <n v="1"/>
    <n v="0"/>
  </r>
  <r>
    <n v="304"/>
    <s v="pascal"/>
    <s v="indexing fault"/>
    <s v="runtime error"/>
    <s v="base-case impact"/>
    <s v="gpt4-python-with_lib"/>
    <n v="1"/>
    <x v="1"/>
    <x v="3"/>
    <n v="1"/>
    <n v="1"/>
    <n v="0"/>
  </r>
  <r>
    <n v="305"/>
    <s v="possible_change"/>
    <s v="condition fault"/>
    <s v="runtime error"/>
    <s v="edge-case impact"/>
    <s v="gpt4-python-with_lib"/>
    <n v="1"/>
    <x v="1"/>
    <x v="3"/>
    <n v="1"/>
    <n v="1"/>
    <n v="0"/>
  </r>
  <r>
    <n v="306"/>
    <s v="powerset"/>
    <s v="variable assign fault"/>
    <s v="output error"/>
    <s v="base-case impact"/>
    <s v="gpt4-python-with_lib"/>
    <n v="1"/>
    <x v="1"/>
    <x v="3"/>
    <n v="1"/>
    <n v="1"/>
    <n v="0"/>
  </r>
  <r>
    <n v="307"/>
    <s v="quicksort"/>
    <s v="condition fault"/>
    <s v="output error"/>
    <s v="edge-case impact"/>
    <s v="gpt4-python-with_lib"/>
    <n v="1"/>
    <x v="1"/>
    <x v="3"/>
    <n v="1"/>
    <n v="1"/>
    <n v="0"/>
  </r>
  <r>
    <n v="308"/>
    <s v="reverse_linked_list"/>
    <s v="variable assign missing fault"/>
    <s v="output error"/>
    <s v="all-case impact"/>
    <s v="gpt4-python-with_lib"/>
    <n v="1"/>
    <x v="1"/>
    <x v="3"/>
    <n v="1"/>
    <n v="1"/>
    <n v="0"/>
  </r>
  <r>
    <n v="309"/>
    <s v="rpn_eval"/>
    <s v="variable assign fault"/>
    <s v="output error"/>
    <s v="edge-case impact"/>
    <s v="gpt4-python-with_lib"/>
    <n v="0.66666666666666663"/>
    <x v="1"/>
    <x v="3"/>
    <n v="1"/>
    <n v="0"/>
    <n v="1"/>
  </r>
  <r>
    <n v="310"/>
    <s v="shortest_path_length"/>
    <s v="variable assign fault"/>
    <s v="output error"/>
    <s v="base-case impact"/>
    <s v="gpt4-python-with_lib"/>
    <n v="0"/>
    <x v="1"/>
    <x v="3"/>
    <n v="0"/>
    <n v="0"/>
    <n v="0"/>
  </r>
  <r>
    <n v="311"/>
    <s v="shortest_path_lengths"/>
    <s v="indexing fault"/>
    <s v="output error"/>
    <s v="all-case impact"/>
    <s v="gpt4-python-with_lib"/>
    <n v="1"/>
    <x v="1"/>
    <x v="3"/>
    <n v="1"/>
    <n v="1"/>
    <n v="0"/>
  </r>
  <r>
    <n v="312"/>
    <s v="shortest_paths"/>
    <s v="variable misuse fault"/>
    <s v="output error"/>
    <s v="all-case impact"/>
    <s v="gpt4-python-with_lib"/>
    <n v="1"/>
    <x v="1"/>
    <x v="3"/>
    <n v="1"/>
    <n v="1"/>
    <n v="0"/>
  </r>
  <r>
    <n v="313"/>
    <s v="shunting_yard"/>
    <s v="variable assign missing fault"/>
    <s v="output error"/>
    <s v="base-case impact"/>
    <s v="gpt4-python-with_lib"/>
    <n v="1"/>
    <x v="1"/>
    <x v="3"/>
    <n v="1"/>
    <n v="1"/>
    <n v="0"/>
  </r>
  <r>
    <n v="314"/>
    <s v="sieve"/>
    <s v="condition fault"/>
    <s v="output error"/>
    <s v="base-case impact"/>
    <s v="gpt4-python-with_lib"/>
    <n v="1"/>
    <x v="1"/>
    <x v="3"/>
    <n v="1"/>
    <n v="1"/>
    <n v="0"/>
  </r>
  <r>
    <n v="315"/>
    <s v="sqrt"/>
    <s v="condition fault"/>
    <s v="infinite loop error"/>
    <s v="base-case impact"/>
    <s v="gpt4-python-with_lib"/>
    <n v="1"/>
    <x v="1"/>
    <x v="3"/>
    <n v="1"/>
    <n v="1"/>
    <n v="0"/>
  </r>
  <r>
    <n v="316"/>
    <s v="subsequences"/>
    <s v="variable assign fault"/>
    <s v="output error"/>
    <s v="edge-case impact"/>
    <s v="gpt4-python-with_lib"/>
    <n v="0"/>
    <x v="1"/>
    <x v="3"/>
    <n v="0"/>
    <n v="0"/>
    <n v="0"/>
  </r>
  <r>
    <n v="317"/>
    <s v="to_base"/>
    <s v="variable assign fault"/>
    <s v="output error"/>
    <s v="base-case impact"/>
    <s v="gpt4-python-with_lib"/>
    <n v="1"/>
    <x v="1"/>
    <x v="3"/>
    <n v="1"/>
    <n v="1"/>
    <n v="0"/>
  </r>
  <r>
    <n v="318"/>
    <s v="topological_ordering"/>
    <s v="condition fault"/>
    <s v="output error"/>
    <s v="all-case impact"/>
    <s v="gpt4-python-with_lib"/>
    <n v="1"/>
    <x v="1"/>
    <x v="3"/>
    <n v="1"/>
    <n v="1"/>
    <n v="0"/>
  </r>
  <r>
    <n v="319"/>
    <s v="wrap"/>
    <s v="variable assign missing fault"/>
    <s v="format error"/>
    <s v="all-case impact"/>
    <s v="gpt4-python-with_lib"/>
    <n v="0"/>
    <x v="1"/>
    <x v="3"/>
    <n v="0"/>
    <n v="0"/>
    <n v="0"/>
  </r>
  <r>
    <n v="320"/>
    <s v="bitcount"/>
    <s v="variable assign fault"/>
    <s v="infinite loop error"/>
    <s v="all-case impact"/>
    <s v="gpt35-python-basic"/>
    <n v="1"/>
    <x v="2"/>
    <x v="1"/>
    <n v="1"/>
    <n v="1"/>
    <n v="0"/>
  </r>
  <r>
    <n v="321"/>
    <s v="breadth_first_search"/>
    <s v="condition fault"/>
    <s v="infinite loop error"/>
    <s v="edge-case impact"/>
    <s v="gpt35-python-basic"/>
    <n v="1"/>
    <x v="2"/>
    <x v="1"/>
    <n v="1"/>
    <n v="1"/>
    <n v="0"/>
  </r>
  <r>
    <n v="322"/>
    <s v="bucketsort"/>
    <s v="variable misuse fault"/>
    <s v="output error"/>
    <s v="all-case impact"/>
    <s v="gpt35-python-basic"/>
    <n v="1"/>
    <x v="2"/>
    <x v="1"/>
    <n v="1"/>
    <n v="1"/>
    <n v="0"/>
  </r>
  <r>
    <n v="323"/>
    <s v="depth_first_search"/>
    <s v="variable misuse fault"/>
    <s v="infinite loop error"/>
    <s v="edge-case impact"/>
    <s v="gpt35-python-basic"/>
    <n v="1"/>
    <x v="2"/>
    <x v="1"/>
    <n v="1"/>
    <n v="1"/>
    <n v="0"/>
  </r>
  <r>
    <n v="324"/>
    <s v="detect_cycle"/>
    <s v="condition fault"/>
    <s v="runtime error"/>
    <s v="edge-case impact"/>
    <s v="gpt35-python-basic"/>
    <n v="0.66666666666666663"/>
    <x v="2"/>
    <x v="1"/>
    <n v="1"/>
    <n v="0"/>
    <n v="1"/>
  </r>
  <r>
    <n v="325"/>
    <s v="find_first_in_sorted"/>
    <s v="condition fault"/>
    <s v="infinite loop error"/>
    <s v="edge-case impact"/>
    <s v="gpt35-python-basic"/>
    <n v="1"/>
    <x v="2"/>
    <x v="1"/>
    <n v="1"/>
    <n v="1"/>
    <n v="0"/>
  </r>
  <r>
    <n v="326"/>
    <s v="find_in_sorted"/>
    <s v="indexing fault"/>
    <s v="infinite loop error"/>
    <s v="edge-case impact"/>
    <s v="gpt35-python-basic"/>
    <n v="1"/>
    <x v="2"/>
    <x v="1"/>
    <n v="1"/>
    <n v="1"/>
    <n v="0"/>
  </r>
  <r>
    <n v="327"/>
    <s v="flatten"/>
    <s v="variable misuse fault"/>
    <s v="format error"/>
    <s v="base-case impact"/>
    <s v="gpt35-python-basic"/>
    <n v="1"/>
    <x v="2"/>
    <x v="1"/>
    <n v="1"/>
    <n v="1"/>
    <n v="0"/>
  </r>
  <r>
    <n v="328"/>
    <s v="gcd"/>
    <s v="variable misuse fault"/>
    <s v="infinite loop error"/>
    <s v="base-case impact"/>
    <s v="gpt35-python-basic"/>
    <n v="1"/>
    <x v="2"/>
    <x v="1"/>
    <n v="1"/>
    <n v="1"/>
    <n v="0"/>
  </r>
  <r>
    <n v="329"/>
    <s v="get_factors"/>
    <s v="variable assign fault"/>
    <s v="output error"/>
    <s v="base-case impact"/>
    <s v="gpt35-python-basic"/>
    <n v="0"/>
    <x v="2"/>
    <x v="1"/>
    <n v="0"/>
    <n v="0"/>
    <n v="0"/>
  </r>
  <r>
    <n v="330"/>
    <s v="hanoi"/>
    <s v="variable misuse fault"/>
    <s v="output error"/>
    <s v="all-case impact"/>
    <s v="gpt35-python-basic"/>
    <n v="1"/>
    <x v="2"/>
    <x v="1"/>
    <n v="1"/>
    <n v="1"/>
    <n v="0"/>
  </r>
  <r>
    <n v="331"/>
    <s v="is_valid_parenthesization"/>
    <s v="variable assign fault"/>
    <s v="output error"/>
    <s v="edge-case impact"/>
    <s v="gpt35-python-basic"/>
    <n v="1"/>
    <x v="2"/>
    <x v="1"/>
    <n v="1"/>
    <n v="1"/>
    <n v="0"/>
  </r>
  <r>
    <n v="332"/>
    <s v="kheapsort"/>
    <s v="indexing fault"/>
    <s v="output error"/>
    <s v="base-case impact"/>
    <s v="gpt35-python-basic"/>
    <n v="1"/>
    <x v="2"/>
    <x v="1"/>
    <n v="1"/>
    <n v="1"/>
    <n v="0"/>
  </r>
  <r>
    <n v="333"/>
    <s v="knapsack"/>
    <s v="condition fault"/>
    <s v="output error"/>
    <s v="edge-case impact"/>
    <s v="gpt35-python-basic"/>
    <n v="1"/>
    <x v="2"/>
    <x v="1"/>
    <n v="1"/>
    <n v="1"/>
    <n v="0"/>
  </r>
  <r>
    <n v="334"/>
    <s v="kth"/>
    <s v="variable assign fault"/>
    <s v="runtime error"/>
    <s v="base-case impact"/>
    <s v="gpt35-python-basic"/>
    <n v="1"/>
    <x v="2"/>
    <x v="1"/>
    <n v="1"/>
    <n v="1"/>
    <n v="0"/>
  </r>
  <r>
    <n v="335"/>
    <s v="lcs_length"/>
    <s v="indexing fault"/>
    <s v="output error"/>
    <s v="base-case impact"/>
    <s v="gpt35-python-basic"/>
    <n v="1"/>
    <x v="2"/>
    <x v="1"/>
    <n v="1"/>
    <n v="1"/>
    <n v="0"/>
  </r>
  <r>
    <n v="336"/>
    <s v="levenshtein"/>
    <s v="variable assign fault"/>
    <s v="output error"/>
    <s v="base-case impact"/>
    <s v="gpt35-python-basic"/>
    <n v="0.66666666666666663"/>
    <x v="2"/>
    <x v="1"/>
    <n v="1"/>
    <n v="0"/>
    <n v="1"/>
  </r>
  <r>
    <n v="337"/>
    <s v="lis"/>
    <s v="variable assign fault"/>
    <s v="output error"/>
    <s v="base-case impact"/>
    <s v="gpt35-python-basic"/>
    <n v="0"/>
    <x v="2"/>
    <x v="1"/>
    <n v="0"/>
    <n v="0"/>
    <n v="0"/>
  </r>
  <r>
    <n v="338"/>
    <s v="longest_common_subsequence"/>
    <s v="indexing fault"/>
    <s v="output error"/>
    <s v="edge-case impact"/>
    <s v="gpt35-python-basic"/>
    <n v="1"/>
    <x v="2"/>
    <x v="1"/>
    <n v="1"/>
    <n v="1"/>
    <n v="0"/>
  </r>
  <r>
    <n v="339"/>
    <s v="max_sublist_sum"/>
    <s v="variable assign fault"/>
    <s v="output error"/>
    <s v="base-case impact"/>
    <s v="gpt35-python-basic"/>
    <n v="0"/>
    <x v="2"/>
    <x v="1"/>
    <n v="0"/>
    <n v="0"/>
    <n v="0"/>
  </r>
  <r>
    <n v="340"/>
    <s v="mergesort"/>
    <s v="condition fault"/>
    <s v="infinite loop error"/>
    <s v="all-case impact"/>
    <s v="gpt35-python-basic"/>
    <n v="1"/>
    <x v="2"/>
    <x v="1"/>
    <n v="1"/>
    <n v="1"/>
    <n v="0"/>
  </r>
  <r>
    <n v="341"/>
    <s v="minimum_spanning_tree"/>
    <s v="variable misuse fault"/>
    <s v="runtime error"/>
    <s v="all-case impact"/>
    <s v="gpt35-python-basic"/>
    <n v="1"/>
    <x v="2"/>
    <x v="1"/>
    <n v="1"/>
    <n v="1"/>
    <n v="0"/>
  </r>
  <r>
    <n v="342"/>
    <s v="next_palindrome"/>
    <s v="variable assign fault"/>
    <s v="format error"/>
    <s v="edge-case impact"/>
    <s v="gpt35-python-basic"/>
    <n v="1"/>
    <x v="2"/>
    <x v="1"/>
    <n v="1"/>
    <n v="1"/>
    <n v="0"/>
  </r>
  <r>
    <n v="343"/>
    <s v="next_permutation"/>
    <s v="condition fault"/>
    <s v="output error"/>
    <s v="all-case impact"/>
    <s v="gpt35-python-basic"/>
    <n v="1"/>
    <x v="2"/>
    <x v="1"/>
    <n v="1"/>
    <n v="1"/>
    <n v="0"/>
  </r>
  <r>
    <n v="344"/>
    <s v="pascal"/>
    <s v="indexing fault"/>
    <s v="runtime error"/>
    <s v="base-case impact"/>
    <s v="gpt35-python-basic"/>
    <n v="1"/>
    <x v="2"/>
    <x v="1"/>
    <n v="1"/>
    <n v="1"/>
    <n v="0"/>
  </r>
  <r>
    <n v="345"/>
    <s v="possible_change"/>
    <s v="condition fault"/>
    <s v="runtime error"/>
    <s v="edge-case impact"/>
    <s v="gpt35-python-basic"/>
    <n v="1"/>
    <x v="2"/>
    <x v="1"/>
    <n v="1"/>
    <n v="1"/>
    <n v="0"/>
  </r>
  <r>
    <n v="346"/>
    <s v="powerset"/>
    <s v="variable assign fault"/>
    <s v="output error"/>
    <s v="base-case impact"/>
    <s v="gpt35-python-basic"/>
    <n v="1"/>
    <x v="2"/>
    <x v="1"/>
    <n v="1"/>
    <n v="1"/>
    <n v="0"/>
  </r>
  <r>
    <n v="347"/>
    <s v="quicksort"/>
    <s v="condition fault"/>
    <s v="output error"/>
    <s v="edge-case impact"/>
    <s v="gpt35-python-basic"/>
    <n v="1"/>
    <x v="2"/>
    <x v="1"/>
    <n v="1"/>
    <n v="1"/>
    <n v="0"/>
  </r>
  <r>
    <n v="348"/>
    <s v="reverse_linked_list"/>
    <s v="variable assign missing fault"/>
    <s v="output error"/>
    <s v="all-case impact"/>
    <s v="gpt35-python-basic"/>
    <n v="0.66666666666666663"/>
    <x v="2"/>
    <x v="1"/>
    <n v="1"/>
    <n v="0"/>
    <n v="1"/>
  </r>
  <r>
    <n v="349"/>
    <s v="rpn_eval"/>
    <s v="variable assign fault"/>
    <s v="output error"/>
    <s v="edge-case impact"/>
    <s v="gpt35-python-basic"/>
    <n v="1"/>
    <x v="2"/>
    <x v="1"/>
    <n v="1"/>
    <n v="1"/>
    <n v="0"/>
  </r>
  <r>
    <n v="350"/>
    <s v="shortest_path_length"/>
    <s v="variable assign fault"/>
    <s v="output error"/>
    <s v="base-case impact"/>
    <s v="gpt35-python-basic"/>
    <n v="1"/>
    <x v="2"/>
    <x v="1"/>
    <n v="1"/>
    <n v="1"/>
    <n v="0"/>
  </r>
  <r>
    <n v="351"/>
    <s v="shortest_path_lengths"/>
    <s v="indexing fault"/>
    <s v="output error"/>
    <s v="all-case impact"/>
    <s v="gpt35-python-basic"/>
    <n v="1"/>
    <x v="2"/>
    <x v="1"/>
    <n v="1"/>
    <n v="1"/>
    <n v="0"/>
  </r>
  <r>
    <n v="352"/>
    <s v="shortest_paths"/>
    <s v="variable misuse fault"/>
    <s v="output error"/>
    <s v="all-case impact"/>
    <s v="gpt35-python-basic"/>
    <n v="1"/>
    <x v="2"/>
    <x v="1"/>
    <n v="1"/>
    <n v="1"/>
    <n v="0"/>
  </r>
  <r>
    <n v="353"/>
    <s v="shunting_yard"/>
    <s v="variable assign missing fault"/>
    <s v="output error"/>
    <s v="base-case impact"/>
    <s v="gpt35-python-basic"/>
    <n v="1"/>
    <x v="2"/>
    <x v="1"/>
    <n v="1"/>
    <n v="1"/>
    <n v="0"/>
  </r>
  <r>
    <n v="354"/>
    <s v="sieve"/>
    <s v="condition fault"/>
    <s v="output error"/>
    <s v="base-case impact"/>
    <s v="gpt35-python-basic"/>
    <n v="1"/>
    <x v="2"/>
    <x v="1"/>
    <n v="1"/>
    <n v="1"/>
    <n v="0"/>
  </r>
  <r>
    <n v="355"/>
    <s v="sqrt"/>
    <s v="condition fault"/>
    <s v="infinite loop error"/>
    <s v="base-case impact"/>
    <s v="gpt35-python-basic"/>
    <n v="1"/>
    <x v="2"/>
    <x v="1"/>
    <n v="1"/>
    <n v="1"/>
    <n v="0"/>
  </r>
  <r>
    <n v="356"/>
    <s v="subsequences"/>
    <s v="variable assign fault"/>
    <s v="output error"/>
    <s v="edge-case impact"/>
    <s v="gpt35-python-basic"/>
    <n v="0"/>
    <x v="2"/>
    <x v="1"/>
    <n v="0"/>
    <n v="0"/>
    <n v="0"/>
  </r>
  <r>
    <n v="357"/>
    <s v="to_base"/>
    <s v="variable assign fault"/>
    <s v="output error"/>
    <s v="base-case impact"/>
    <s v="gpt35-python-basic"/>
    <n v="1"/>
    <x v="2"/>
    <x v="1"/>
    <n v="1"/>
    <n v="1"/>
    <n v="0"/>
  </r>
  <r>
    <n v="358"/>
    <s v="topological_ordering"/>
    <s v="condition fault"/>
    <s v="output error"/>
    <s v="all-case impact"/>
    <s v="gpt35-python-basic"/>
    <n v="1"/>
    <x v="2"/>
    <x v="1"/>
    <n v="1"/>
    <n v="1"/>
    <n v="0"/>
  </r>
  <r>
    <n v="359"/>
    <s v="wrap"/>
    <s v="variable assign missing fault"/>
    <s v="format error"/>
    <s v="all-case impact"/>
    <s v="gpt35-python-basic"/>
    <n v="0"/>
    <x v="2"/>
    <x v="1"/>
    <n v="0"/>
    <n v="0"/>
    <n v="0"/>
  </r>
  <r>
    <n v="360"/>
    <s v="bitcount"/>
    <s v="variable assign fault"/>
    <s v="infinite loop error"/>
    <s v="all-case impact"/>
    <s v="claude-python-with_lib"/>
    <n v="0.66666666666666663"/>
    <x v="1"/>
    <x v="2"/>
    <n v="1"/>
    <n v="0"/>
    <n v="1"/>
  </r>
  <r>
    <n v="361"/>
    <s v="breadth_first_search"/>
    <s v="condition fault"/>
    <s v="infinite loop error"/>
    <s v="edge-case impact"/>
    <s v="claude-python-with_lib"/>
    <n v="1"/>
    <x v="1"/>
    <x v="2"/>
    <n v="1"/>
    <n v="1"/>
    <n v="0"/>
  </r>
  <r>
    <n v="362"/>
    <s v="bucketsort"/>
    <s v="variable misuse fault"/>
    <s v="output error"/>
    <s v="all-case impact"/>
    <s v="claude-python-with_lib"/>
    <n v="1"/>
    <x v="1"/>
    <x v="2"/>
    <n v="1"/>
    <n v="1"/>
    <n v="0"/>
  </r>
  <r>
    <n v="363"/>
    <s v="depth_first_search"/>
    <s v="variable misuse fault"/>
    <s v="infinite loop error"/>
    <s v="edge-case impact"/>
    <s v="claude-python-with_lib"/>
    <n v="1"/>
    <x v="1"/>
    <x v="2"/>
    <n v="1"/>
    <n v="1"/>
    <n v="0"/>
  </r>
  <r>
    <n v="364"/>
    <s v="detect_cycle"/>
    <s v="condition fault"/>
    <s v="runtime error"/>
    <s v="edge-case impact"/>
    <s v="claude-python-with_lib"/>
    <n v="1"/>
    <x v="1"/>
    <x v="2"/>
    <n v="1"/>
    <n v="1"/>
    <n v="0"/>
  </r>
  <r>
    <n v="365"/>
    <s v="find_first_in_sorted"/>
    <s v="condition fault"/>
    <s v="infinite loop error"/>
    <s v="edge-case impact"/>
    <s v="claude-python-with_lib"/>
    <n v="0"/>
    <x v="1"/>
    <x v="2"/>
    <n v="0"/>
    <n v="0"/>
    <n v="0"/>
  </r>
  <r>
    <n v="366"/>
    <s v="find_in_sorted"/>
    <s v="indexing fault"/>
    <s v="infinite loop error"/>
    <s v="edge-case impact"/>
    <s v="claude-python-with_lib"/>
    <n v="1"/>
    <x v="1"/>
    <x v="2"/>
    <n v="1"/>
    <n v="1"/>
    <n v="0"/>
  </r>
  <r>
    <n v="367"/>
    <s v="flatten"/>
    <s v="variable misuse fault"/>
    <s v="format error"/>
    <s v="base-case impact"/>
    <s v="claude-python-with_lib"/>
    <n v="1"/>
    <x v="1"/>
    <x v="2"/>
    <n v="1"/>
    <n v="1"/>
    <n v="0"/>
  </r>
  <r>
    <n v="368"/>
    <s v="gcd"/>
    <s v="variable misuse fault"/>
    <s v="infinite loop error"/>
    <s v="base-case impact"/>
    <s v="claude-python-with_lib"/>
    <n v="0.33333333333333331"/>
    <x v="1"/>
    <x v="2"/>
    <n v="1"/>
    <n v="0"/>
    <n v="1"/>
  </r>
  <r>
    <n v="369"/>
    <s v="get_factors"/>
    <s v="variable assign fault"/>
    <s v="output error"/>
    <s v="base-case impact"/>
    <s v="claude-python-with_lib"/>
    <n v="0.33333333333333331"/>
    <x v="1"/>
    <x v="2"/>
    <n v="1"/>
    <n v="0"/>
    <n v="1"/>
  </r>
  <r>
    <n v="370"/>
    <s v="hanoi"/>
    <s v="variable misuse fault"/>
    <s v="output error"/>
    <s v="all-case impact"/>
    <s v="claude-python-with_lib"/>
    <n v="1"/>
    <x v="1"/>
    <x v="2"/>
    <n v="1"/>
    <n v="1"/>
    <n v="0"/>
  </r>
  <r>
    <n v="371"/>
    <s v="is_valid_parenthesization"/>
    <s v="variable assign fault"/>
    <s v="output error"/>
    <s v="edge-case impact"/>
    <s v="claude-python-with_lib"/>
    <n v="1"/>
    <x v="1"/>
    <x v="2"/>
    <n v="1"/>
    <n v="1"/>
    <n v="0"/>
  </r>
  <r>
    <n v="372"/>
    <s v="kheapsort"/>
    <s v="indexing fault"/>
    <s v="output error"/>
    <s v="base-case impact"/>
    <s v="claude-python-with_lib"/>
    <n v="1"/>
    <x v="1"/>
    <x v="2"/>
    <n v="1"/>
    <n v="1"/>
    <n v="0"/>
  </r>
  <r>
    <n v="373"/>
    <s v="knapsack"/>
    <s v="condition fault"/>
    <s v="output error"/>
    <s v="edge-case impact"/>
    <s v="claude-python-with_lib"/>
    <n v="1"/>
    <x v="1"/>
    <x v="2"/>
    <n v="1"/>
    <n v="1"/>
    <n v="0"/>
  </r>
  <r>
    <n v="374"/>
    <s v="kth"/>
    <s v="variable assign fault"/>
    <s v="runtime error"/>
    <s v="base-case impact"/>
    <s v="claude-python-with_lib"/>
    <n v="1"/>
    <x v="1"/>
    <x v="2"/>
    <n v="1"/>
    <n v="1"/>
    <n v="0"/>
  </r>
  <r>
    <n v="375"/>
    <s v="lcs_length"/>
    <s v="indexing fault"/>
    <s v="output error"/>
    <s v="base-case impact"/>
    <s v="claude-python-with_lib"/>
    <n v="1"/>
    <x v="1"/>
    <x v="2"/>
    <n v="1"/>
    <n v="1"/>
    <n v="0"/>
  </r>
  <r>
    <n v="376"/>
    <s v="levenshtein"/>
    <s v="variable assign fault"/>
    <s v="output error"/>
    <s v="base-case impact"/>
    <s v="claude-python-with_lib"/>
    <n v="1"/>
    <x v="1"/>
    <x v="2"/>
    <n v="1"/>
    <n v="1"/>
    <n v="0"/>
  </r>
  <r>
    <n v="377"/>
    <s v="lis"/>
    <s v="variable assign fault"/>
    <s v="output error"/>
    <s v="base-case impact"/>
    <s v="claude-python-with_lib"/>
    <n v="0.66666666666666663"/>
    <x v="1"/>
    <x v="2"/>
    <n v="1"/>
    <n v="0"/>
    <n v="1"/>
  </r>
  <r>
    <n v="378"/>
    <s v="longest_common_subsequence"/>
    <s v="indexing fault"/>
    <s v="output error"/>
    <s v="edge-case impact"/>
    <s v="claude-python-with_lib"/>
    <n v="1"/>
    <x v="1"/>
    <x v="2"/>
    <n v="1"/>
    <n v="1"/>
    <n v="0"/>
  </r>
  <r>
    <n v="379"/>
    <s v="max_sublist_sum"/>
    <s v="variable assign fault"/>
    <s v="output error"/>
    <s v="base-case impact"/>
    <s v="claude-python-with_lib"/>
    <n v="0"/>
    <x v="1"/>
    <x v="2"/>
    <n v="0"/>
    <n v="0"/>
    <n v="0"/>
  </r>
  <r>
    <n v="380"/>
    <s v="mergesort"/>
    <s v="condition fault"/>
    <s v="infinite loop error"/>
    <s v="all-case impact"/>
    <s v="claude-python-with_lib"/>
    <n v="1"/>
    <x v="1"/>
    <x v="2"/>
    <n v="1"/>
    <n v="1"/>
    <n v="0"/>
  </r>
  <r>
    <n v="381"/>
    <s v="minimum_spanning_tree"/>
    <s v="variable misuse fault"/>
    <s v="runtime error"/>
    <s v="all-case impact"/>
    <s v="claude-python-with_lib"/>
    <n v="1"/>
    <x v="1"/>
    <x v="2"/>
    <n v="1"/>
    <n v="1"/>
    <n v="0"/>
  </r>
  <r>
    <n v="382"/>
    <s v="next_palindrome"/>
    <s v="variable assign fault"/>
    <s v="format error"/>
    <s v="edge-case impact"/>
    <s v="claude-python-with_lib"/>
    <n v="1"/>
    <x v="1"/>
    <x v="2"/>
    <n v="1"/>
    <n v="1"/>
    <n v="0"/>
  </r>
  <r>
    <n v="383"/>
    <s v="next_permutation"/>
    <s v="condition fault"/>
    <s v="output error"/>
    <s v="all-case impact"/>
    <s v="claude-python-with_lib"/>
    <n v="1"/>
    <x v="1"/>
    <x v="2"/>
    <n v="1"/>
    <n v="1"/>
    <n v="0"/>
  </r>
  <r>
    <n v="384"/>
    <s v="pascal"/>
    <s v="indexing fault"/>
    <s v="runtime error"/>
    <s v="base-case impact"/>
    <s v="claude-python-with_lib"/>
    <n v="0"/>
    <x v="1"/>
    <x v="2"/>
    <n v="0"/>
    <n v="0"/>
    <n v="0"/>
  </r>
  <r>
    <n v="385"/>
    <s v="possible_change"/>
    <s v="condition fault"/>
    <s v="runtime error"/>
    <s v="edge-case impact"/>
    <s v="claude-python-with_lib"/>
    <n v="1"/>
    <x v="1"/>
    <x v="2"/>
    <n v="1"/>
    <n v="1"/>
    <n v="0"/>
  </r>
  <r>
    <n v="386"/>
    <s v="powerset"/>
    <s v="variable assign fault"/>
    <s v="output error"/>
    <s v="base-case impact"/>
    <s v="claude-python-with_lib"/>
    <n v="1"/>
    <x v="1"/>
    <x v="2"/>
    <n v="1"/>
    <n v="1"/>
    <n v="0"/>
  </r>
  <r>
    <n v="387"/>
    <s v="quicksort"/>
    <s v="condition fault"/>
    <s v="output error"/>
    <s v="edge-case impact"/>
    <s v="claude-python-with_lib"/>
    <n v="1"/>
    <x v="1"/>
    <x v="2"/>
    <n v="1"/>
    <n v="1"/>
    <n v="0"/>
  </r>
  <r>
    <n v="388"/>
    <s v="reverse_linked_list"/>
    <s v="variable assign missing fault"/>
    <s v="output error"/>
    <s v="all-case impact"/>
    <s v="claude-python-with_lib"/>
    <n v="1"/>
    <x v="1"/>
    <x v="2"/>
    <n v="1"/>
    <n v="1"/>
    <n v="0"/>
  </r>
  <r>
    <n v="389"/>
    <s v="rpn_eval"/>
    <s v="variable assign fault"/>
    <s v="output error"/>
    <s v="edge-case impact"/>
    <s v="claude-python-with_lib"/>
    <n v="1"/>
    <x v="1"/>
    <x v="2"/>
    <n v="1"/>
    <n v="1"/>
    <n v="0"/>
  </r>
  <r>
    <n v="390"/>
    <s v="shortest_path_length"/>
    <s v="variable assign fault"/>
    <s v="output error"/>
    <s v="base-case impact"/>
    <s v="claude-python-with_lib"/>
    <n v="1"/>
    <x v="1"/>
    <x v="2"/>
    <n v="1"/>
    <n v="1"/>
    <n v="0"/>
  </r>
  <r>
    <n v="391"/>
    <s v="shortest_path_lengths"/>
    <s v="indexing fault"/>
    <s v="output error"/>
    <s v="all-case impact"/>
    <s v="claude-python-with_lib"/>
    <n v="1"/>
    <x v="1"/>
    <x v="2"/>
    <n v="1"/>
    <n v="1"/>
    <n v="0"/>
  </r>
  <r>
    <n v="392"/>
    <s v="shortest_paths"/>
    <s v="variable misuse fault"/>
    <s v="output error"/>
    <s v="all-case impact"/>
    <s v="claude-python-with_lib"/>
    <n v="1"/>
    <x v="1"/>
    <x v="2"/>
    <n v="1"/>
    <n v="1"/>
    <n v="0"/>
  </r>
  <r>
    <n v="393"/>
    <s v="shunting_yard"/>
    <s v="variable assign missing fault"/>
    <s v="output error"/>
    <s v="base-case impact"/>
    <s v="claude-python-with_lib"/>
    <n v="1"/>
    <x v="1"/>
    <x v="2"/>
    <n v="1"/>
    <n v="1"/>
    <n v="0"/>
  </r>
  <r>
    <n v="394"/>
    <s v="sieve"/>
    <s v="condition fault"/>
    <s v="output error"/>
    <s v="base-case impact"/>
    <s v="claude-python-with_lib"/>
    <n v="1"/>
    <x v="1"/>
    <x v="2"/>
    <n v="1"/>
    <n v="1"/>
    <n v="0"/>
  </r>
  <r>
    <n v="395"/>
    <s v="sqrt"/>
    <s v="condition fault"/>
    <s v="infinite loop error"/>
    <s v="base-case impact"/>
    <s v="claude-python-with_lib"/>
    <n v="1"/>
    <x v="1"/>
    <x v="2"/>
    <n v="1"/>
    <n v="1"/>
    <n v="0"/>
  </r>
  <r>
    <n v="396"/>
    <s v="subsequences"/>
    <s v="variable assign fault"/>
    <s v="output error"/>
    <s v="edge-case impact"/>
    <s v="claude-python-with_lib"/>
    <n v="0"/>
    <x v="1"/>
    <x v="2"/>
    <n v="0"/>
    <n v="0"/>
    <n v="0"/>
  </r>
  <r>
    <n v="397"/>
    <s v="to_base"/>
    <s v="variable assign fault"/>
    <s v="output error"/>
    <s v="base-case impact"/>
    <s v="claude-python-with_lib"/>
    <n v="1"/>
    <x v="1"/>
    <x v="2"/>
    <n v="1"/>
    <n v="1"/>
    <n v="0"/>
  </r>
  <r>
    <n v="398"/>
    <s v="topological_ordering"/>
    <s v="condition fault"/>
    <s v="output error"/>
    <s v="all-case impact"/>
    <s v="claude-python-with_lib"/>
    <n v="1"/>
    <x v="1"/>
    <x v="2"/>
    <n v="1"/>
    <n v="1"/>
    <n v="0"/>
  </r>
  <r>
    <n v="399"/>
    <s v="wrap"/>
    <s v="variable assign missing fault"/>
    <s v="format error"/>
    <s v="all-case impact"/>
    <s v="claude-python-with_lib"/>
    <n v="0"/>
    <x v="1"/>
    <x v="2"/>
    <n v="0"/>
    <n v="0"/>
    <n v="0"/>
  </r>
  <r>
    <n v="400"/>
    <s v="bitcount"/>
    <s v="variable assign fault"/>
    <s v="infinite loop error"/>
    <s v="all-case impact"/>
    <s v="gpt4-python-basic"/>
    <n v="1"/>
    <x v="2"/>
    <x v="3"/>
    <n v="1"/>
    <n v="1"/>
    <n v="0"/>
  </r>
  <r>
    <n v="401"/>
    <s v="breadth_first_search"/>
    <s v="condition fault"/>
    <s v="infinite loop error"/>
    <s v="edge-case impact"/>
    <s v="gpt4-python-basic"/>
    <n v="1"/>
    <x v="2"/>
    <x v="3"/>
    <n v="1"/>
    <n v="1"/>
    <n v="0"/>
  </r>
  <r>
    <n v="402"/>
    <s v="bucketsort"/>
    <s v="variable misuse fault"/>
    <s v="output error"/>
    <s v="all-case impact"/>
    <s v="gpt4-python-basic"/>
    <n v="1"/>
    <x v="2"/>
    <x v="3"/>
    <n v="1"/>
    <n v="1"/>
    <n v="0"/>
  </r>
  <r>
    <n v="403"/>
    <s v="depth_first_search"/>
    <s v="variable misuse fault"/>
    <s v="infinite loop error"/>
    <s v="edge-case impact"/>
    <s v="gpt4-python-basic"/>
    <n v="1"/>
    <x v="2"/>
    <x v="3"/>
    <n v="1"/>
    <n v="1"/>
    <n v="0"/>
  </r>
  <r>
    <n v="404"/>
    <s v="detect_cycle"/>
    <s v="condition fault"/>
    <s v="runtime error"/>
    <s v="edge-case impact"/>
    <s v="gpt4-python-basic"/>
    <n v="1"/>
    <x v="2"/>
    <x v="3"/>
    <n v="1"/>
    <n v="1"/>
    <n v="0"/>
  </r>
  <r>
    <n v="405"/>
    <s v="find_first_in_sorted"/>
    <s v="condition fault"/>
    <s v="infinite loop error"/>
    <s v="edge-case impact"/>
    <s v="gpt4-python-basic"/>
    <n v="1"/>
    <x v="2"/>
    <x v="3"/>
    <n v="1"/>
    <n v="1"/>
    <n v="0"/>
  </r>
  <r>
    <n v="406"/>
    <s v="find_in_sorted"/>
    <s v="indexing fault"/>
    <s v="infinite loop error"/>
    <s v="edge-case impact"/>
    <s v="gpt4-python-basic"/>
    <n v="1"/>
    <x v="2"/>
    <x v="3"/>
    <n v="1"/>
    <n v="1"/>
    <n v="0"/>
  </r>
  <r>
    <n v="407"/>
    <s v="flatten"/>
    <s v="variable misuse fault"/>
    <s v="format error"/>
    <s v="base-case impact"/>
    <s v="gpt4-python-basic"/>
    <n v="1"/>
    <x v="2"/>
    <x v="3"/>
    <n v="1"/>
    <n v="1"/>
    <n v="0"/>
  </r>
  <r>
    <n v="408"/>
    <s v="gcd"/>
    <s v="variable misuse fault"/>
    <s v="infinite loop error"/>
    <s v="base-case impact"/>
    <s v="gpt4-python-basic"/>
    <n v="1"/>
    <x v="2"/>
    <x v="3"/>
    <n v="1"/>
    <n v="1"/>
    <n v="0"/>
  </r>
  <r>
    <n v="409"/>
    <s v="get_factors"/>
    <s v="variable assign fault"/>
    <s v="output error"/>
    <s v="base-case impact"/>
    <s v="gpt4-python-basic"/>
    <n v="1"/>
    <x v="2"/>
    <x v="3"/>
    <n v="1"/>
    <n v="1"/>
    <n v="0"/>
  </r>
  <r>
    <n v="410"/>
    <s v="hanoi"/>
    <s v="variable misuse fault"/>
    <s v="output error"/>
    <s v="all-case impact"/>
    <s v="gpt4-python-basic"/>
    <n v="1"/>
    <x v="2"/>
    <x v="3"/>
    <n v="1"/>
    <n v="1"/>
    <n v="0"/>
  </r>
  <r>
    <n v="411"/>
    <s v="is_valid_parenthesization"/>
    <s v="variable assign fault"/>
    <s v="output error"/>
    <s v="edge-case impact"/>
    <s v="gpt4-python-basic"/>
    <n v="1"/>
    <x v="2"/>
    <x v="3"/>
    <n v="1"/>
    <n v="1"/>
    <n v="0"/>
  </r>
  <r>
    <n v="412"/>
    <s v="kheapsort"/>
    <s v="indexing fault"/>
    <s v="output error"/>
    <s v="base-case impact"/>
    <s v="gpt4-python-basic"/>
    <n v="1"/>
    <x v="2"/>
    <x v="3"/>
    <n v="1"/>
    <n v="1"/>
    <n v="0"/>
  </r>
  <r>
    <n v="413"/>
    <s v="knapsack"/>
    <s v="condition fault"/>
    <s v="output error"/>
    <s v="edge-case impact"/>
    <s v="gpt4-python-basic"/>
    <n v="1"/>
    <x v="2"/>
    <x v="3"/>
    <n v="1"/>
    <n v="1"/>
    <n v="0"/>
  </r>
  <r>
    <n v="414"/>
    <s v="kth"/>
    <s v="variable assign fault"/>
    <s v="runtime error"/>
    <s v="base-case impact"/>
    <s v="gpt4-python-basic"/>
    <n v="1"/>
    <x v="2"/>
    <x v="3"/>
    <n v="1"/>
    <n v="1"/>
    <n v="0"/>
  </r>
  <r>
    <n v="415"/>
    <s v="lcs_length"/>
    <s v="indexing fault"/>
    <s v="output error"/>
    <s v="base-case impact"/>
    <s v="gpt4-python-basic"/>
    <n v="0"/>
    <x v="2"/>
    <x v="3"/>
    <n v="0"/>
    <n v="0"/>
    <n v="0"/>
  </r>
  <r>
    <n v="416"/>
    <s v="levenshtein"/>
    <s v="variable assign fault"/>
    <s v="output error"/>
    <s v="base-case impact"/>
    <s v="gpt4-python-basic"/>
    <n v="1"/>
    <x v="2"/>
    <x v="3"/>
    <n v="1"/>
    <n v="1"/>
    <n v="0"/>
  </r>
  <r>
    <n v="417"/>
    <s v="lis"/>
    <s v="variable assign fault"/>
    <s v="output error"/>
    <s v="base-case impact"/>
    <s v="gpt4-python-basic"/>
    <n v="1"/>
    <x v="2"/>
    <x v="3"/>
    <n v="1"/>
    <n v="1"/>
    <n v="0"/>
  </r>
  <r>
    <n v="418"/>
    <s v="longest_common_subsequence"/>
    <s v="indexing fault"/>
    <s v="output error"/>
    <s v="edge-case impact"/>
    <s v="gpt4-python-basic"/>
    <n v="1"/>
    <x v="2"/>
    <x v="3"/>
    <n v="1"/>
    <n v="1"/>
    <n v="0"/>
  </r>
  <r>
    <n v="419"/>
    <s v="max_sublist_sum"/>
    <s v="variable assign fault"/>
    <s v="output error"/>
    <s v="base-case impact"/>
    <s v="gpt4-python-basic"/>
    <n v="0"/>
    <x v="2"/>
    <x v="3"/>
    <n v="0"/>
    <n v="0"/>
    <n v="0"/>
  </r>
  <r>
    <n v="420"/>
    <s v="mergesort"/>
    <s v="condition fault"/>
    <s v="infinite loop error"/>
    <s v="all-case impact"/>
    <s v="gpt4-python-basic"/>
    <n v="1"/>
    <x v="2"/>
    <x v="3"/>
    <n v="1"/>
    <n v="1"/>
    <n v="0"/>
  </r>
  <r>
    <n v="421"/>
    <s v="minimum_spanning_tree"/>
    <s v="variable misuse fault"/>
    <s v="runtime error"/>
    <s v="all-case impact"/>
    <s v="gpt4-python-basic"/>
    <n v="1"/>
    <x v="2"/>
    <x v="3"/>
    <n v="1"/>
    <n v="1"/>
    <n v="0"/>
  </r>
  <r>
    <n v="422"/>
    <s v="next_palindrome"/>
    <s v="variable assign fault"/>
    <s v="format error"/>
    <s v="edge-case impact"/>
    <s v="gpt4-python-basic"/>
    <n v="0.33333333333333331"/>
    <x v="2"/>
    <x v="3"/>
    <n v="1"/>
    <n v="0"/>
    <n v="1"/>
  </r>
  <r>
    <n v="423"/>
    <s v="next_permutation"/>
    <s v="condition fault"/>
    <s v="output error"/>
    <s v="all-case impact"/>
    <s v="gpt4-python-basic"/>
    <n v="1"/>
    <x v="2"/>
    <x v="3"/>
    <n v="1"/>
    <n v="1"/>
    <n v="0"/>
  </r>
  <r>
    <n v="424"/>
    <s v="pascal"/>
    <s v="indexing fault"/>
    <s v="runtime error"/>
    <s v="base-case impact"/>
    <s v="gpt4-python-basic"/>
    <n v="1"/>
    <x v="2"/>
    <x v="3"/>
    <n v="1"/>
    <n v="1"/>
    <n v="0"/>
  </r>
  <r>
    <n v="425"/>
    <s v="possible_change"/>
    <s v="condition fault"/>
    <s v="runtime error"/>
    <s v="edge-case impact"/>
    <s v="gpt4-python-basic"/>
    <n v="1"/>
    <x v="2"/>
    <x v="3"/>
    <n v="1"/>
    <n v="1"/>
    <n v="0"/>
  </r>
  <r>
    <n v="426"/>
    <s v="powerset"/>
    <s v="variable assign fault"/>
    <s v="output error"/>
    <s v="base-case impact"/>
    <s v="gpt4-python-basic"/>
    <n v="1"/>
    <x v="2"/>
    <x v="3"/>
    <n v="1"/>
    <n v="1"/>
    <n v="0"/>
  </r>
  <r>
    <n v="427"/>
    <s v="quicksort"/>
    <s v="condition fault"/>
    <s v="output error"/>
    <s v="edge-case impact"/>
    <s v="gpt4-python-basic"/>
    <n v="1"/>
    <x v="2"/>
    <x v="3"/>
    <n v="1"/>
    <n v="1"/>
    <n v="0"/>
  </r>
  <r>
    <n v="428"/>
    <s v="reverse_linked_list"/>
    <s v="variable assign missing fault"/>
    <s v="output error"/>
    <s v="all-case impact"/>
    <s v="gpt4-python-basic"/>
    <n v="0"/>
    <x v="2"/>
    <x v="3"/>
    <n v="0"/>
    <n v="0"/>
    <n v="0"/>
  </r>
  <r>
    <n v="429"/>
    <s v="rpn_eval"/>
    <s v="variable assign fault"/>
    <s v="output error"/>
    <s v="edge-case impact"/>
    <s v="gpt4-python-basic"/>
    <n v="1"/>
    <x v="2"/>
    <x v="3"/>
    <n v="1"/>
    <n v="1"/>
    <n v="0"/>
  </r>
  <r>
    <n v="430"/>
    <s v="shortest_path_length"/>
    <s v="variable assign fault"/>
    <s v="output error"/>
    <s v="base-case impact"/>
    <s v="gpt4-python-basic"/>
    <n v="0"/>
    <x v="2"/>
    <x v="3"/>
    <n v="0"/>
    <n v="0"/>
    <n v="0"/>
  </r>
  <r>
    <n v="431"/>
    <s v="shortest_path_lengths"/>
    <s v="indexing fault"/>
    <s v="output error"/>
    <s v="all-case impact"/>
    <s v="gpt4-python-basic"/>
    <n v="1"/>
    <x v="2"/>
    <x v="3"/>
    <n v="1"/>
    <n v="1"/>
    <n v="0"/>
  </r>
  <r>
    <n v="432"/>
    <s v="shortest_paths"/>
    <s v="variable misuse fault"/>
    <s v="output error"/>
    <s v="all-case impact"/>
    <s v="gpt4-python-basic"/>
    <n v="1"/>
    <x v="2"/>
    <x v="3"/>
    <n v="1"/>
    <n v="1"/>
    <n v="0"/>
  </r>
  <r>
    <n v="433"/>
    <s v="shunting_yard"/>
    <s v="variable assign missing fault"/>
    <s v="output error"/>
    <s v="base-case impact"/>
    <s v="gpt4-python-basic"/>
    <n v="1"/>
    <x v="2"/>
    <x v="3"/>
    <n v="1"/>
    <n v="1"/>
    <n v="0"/>
  </r>
  <r>
    <n v="434"/>
    <s v="sieve"/>
    <s v="condition fault"/>
    <s v="output error"/>
    <s v="base-case impact"/>
    <s v="gpt4-python-basic"/>
    <n v="1"/>
    <x v="2"/>
    <x v="3"/>
    <n v="1"/>
    <n v="1"/>
    <n v="0"/>
  </r>
  <r>
    <n v="435"/>
    <s v="sqrt"/>
    <s v="condition fault"/>
    <s v="infinite loop error"/>
    <s v="base-case impact"/>
    <s v="gpt4-python-basic"/>
    <n v="1"/>
    <x v="2"/>
    <x v="3"/>
    <n v="1"/>
    <n v="1"/>
    <n v="0"/>
  </r>
  <r>
    <n v="436"/>
    <s v="subsequences"/>
    <s v="variable assign fault"/>
    <s v="output error"/>
    <s v="edge-case impact"/>
    <s v="gpt4-python-basic"/>
    <n v="0"/>
    <x v="2"/>
    <x v="3"/>
    <n v="0"/>
    <n v="0"/>
    <n v="0"/>
  </r>
  <r>
    <n v="437"/>
    <s v="to_base"/>
    <s v="variable assign fault"/>
    <s v="output error"/>
    <s v="base-case impact"/>
    <s v="gpt4-python-basic"/>
    <n v="1"/>
    <x v="2"/>
    <x v="3"/>
    <n v="1"/>
    <n v="1"/>
    <n v="0"/>
  </r>
  <r>
    <n v="438"/>
    <s v="topological_ordering"/>
    <s v="condition fault"/>
    <s v="output error"/>
    <s v="all-case impact"/>
    <s v="gpt4-python-basic"/>
    <n v="1"/>
    <x v="2"/>
    <x v="3"/>
    <n v="1"/>
    <n v="1"/>
    <n v="0"/>
  </r>
  <r>
    <n v="439"/>
    <s v="wrap"/>
    <s v="variable assign missing fault"/>
    <s v="format error"/>
    <s v="all-case impact"/>
    <s v="gpt4-python-basic"/>
    <n v="0"/>
    <x v="2"/>
    <x v="3"/>
    <n v="0"/>
    <n v="0"/>
    <n v="0"/>
  </r>
  <r>
    <n v="440"/>
    <s v="bitcount"/>
    <s v="variable assign fault"/>
    <s v="infinite loop error"/>
    <s v="all-case impact"/>
    <s v="gemini-python-basic"/>
    <n v="1"/>
    <x v="2"/>
    <x v="0"/>
    <n v="1"/>
    <n v="1"/>
    <n v="0"/>
  </r>
  <r>
    <n v="441"/>
    <s v="breadth_first_search"/>
    <s v="condition fault"/>
    <s v="infinite loop error"/>
    <s v="edge-case impact"/>
    <s v="gemini-python-basic"/>
    <n v="1"/>
    <x v="2"/>
    <x v="0"/>
    <n v="1"/>
    <n v="1"/>
    <n v="0"/>
  </r>
  <r>
    <n v="442"/>
    <s v="bucketsort"/>
    <s v="variable misuse fault"/>
    <s v="output error"/>
    <s v="all-case impact"/>
    <s v="gemini-python-basic"/>
    <n v="1"/>
    <x v="2"/>
    <x v="0"/>
    <n v="1"/>
    <n v="1"/>
    <n v="0"/>
  </r>
  <r>
    <n v="443"/>
    <s v="depth_first_search"/>
    <s v="variable misuse fault"/>
    <s v="infinite loop error"/>
    <s v="edge-case impact"/>
    <s v="gemini-python-basic"/>
    <n v="0.66666666666666663"/>
    <x v="2"/>
    <x v="0"/>
    <n v="1"/>
    <n v="0"/>
    <n v="1"/>
  </r>
  <r>
    <n v="444"/>
    <s v="detect_cycle"/>
    <s v="condition fault"/>
    <s v="runtime error"/>
    <s v="edge-case impact"/>
    <s v="gemini-python-basic"/>
    <n v="1"/>
    <x v="2"/>
    <x v="0"/>
    <n v="1"/>
    <n v="1"/>
    <n v="0"/>
  </r>
  <r>
    <n v="445"/>
    <s v="find_first_in_sorted"/>
    <s v="condition fault"/>
    <s v="infinite loop error"/>
    <s v="edge-case impact"/>
    <s v="gemini-python-basic"/>
    <n v="0.66666666666666663"/>
    <x v="2"/>
    <x v="0"/>
    <n v="1"/>
    <n v="0"/>
    <n v="1"/>
  </r>
  <r>
    <n v="446"/>
    <s v="find_in_sorted"/>
    <s v="indexing fault"/>
    <s v="infinite loop error"/>
    <s v="edge-case impact"/>
    <s v="gemini-python-basic"/>
    <n v="1"/>
    <x v="2"/>
    <x v="0"/>
    <n v="1"/>
    <n v="1"/>
    <n v="0"/>
  </r>
  <r>
    <n v="447"/>
    <s v="flatten"/>
    <s v="variable misuse fault"/>
    <s v="format error"/>
    <s v="base-case impact"/>
    <s v="gemini-python-basic"/>
    <n v="1"/>
    <x v="2"/>
    <x v="0"/>
    <n v="1"/>
    <n v="1"/>
    <n v="0"/>
  </r>
  <r>
    <n v="448"/>
    <s v="gcd"/>
    <s v="variable misuse fault"/>
    <s v="infinite loop error"/>
    <s v="base-case impact"/>
    <s v="gemini-python-basic"/>
    <n v="1"/>
    <x v="2"/>
    <x v="0"/>
    <n v="1"/>
    <n v="1"/>
    <n v="0"/>
  </r>
  <r>
    <n v="449"/>
    <s v="get_factors"/>
    <s v="variable assign fault"/>
    <s v="output error"/>
    <s v="base-case impact"/>
    <s v="gemini-python-basic"/>
    <n v="0"/>
    <x v="2"/>
    <x v="0"/>
    <n v="0"/>
    <n v="0"/>
    <n v="0"/>
  </r>
  <r>
    <n v="450"/>
    <s v="hanoi"/>
    <s v="variable misuse fault"/>
    <s v="output error"/>
    <s v="all-case impact"/>
    <s v="gemini-python-basic"/>
    <n v="1"/>
    <x v="2"/>
    <x v="0"/>
    <n v="1"/>
    <n v="1"/>
    <n v="0"/>
  </r>
  <r>
    <n v="451"/>
    <s v="is_valid_parenthesization"/>
    <s v="variable assign fault"/>
    <s v="output error"/>
    <s v="edge-case impact"/>
    <s v="gemini-python-basic"/>
    <n v="1"/>
    <x v="2"/>
    <x v="0"/>
    <n v="1"/>
    <n v="1"/>
    <n v="0"/>
  </r>
  <r>
    <n v="452"/>
    <s v="kheapsort"/>
    <s v="indexing fault"/>
    <s v="output error"/>
    <s v="base-case impact"/>
    <s v="gemini-python-basic"/>
    <n v="0.66666666666666663"/>
    <x v="2"/>
    <x v="0"/>
    <n v="1"/>
    <n v="0"/>
    <n v="1"/>
  </r>
  <r>
    <n v="453"/>
    <s v="knapsack"/>
    <s v="condition fault"/>
    <s v="output error"/>
    <s v="edge-case impact"/>
    <s v="gemini-python-basic"/>
    <n v="0.66666666666666663"/>
    <x v="2"/>
    <x v="0"/>
    <n v="1"/>
    <n v="0"/>
    <n v="1"/>
  </r>
  <r>
    <n v="454"/>
    <s v="kth"/>
    <s v="variable assign fault"/>
    <s v="runtime error"/>
    <s v="base-case impact"/>
    <s v="gemini-python-basic"/>
    <n v="0.33333333333333331"/>
    <x v="2"/>
    <x v="0"/>
    <n v="1"/>
    <n v="0"/>
    <n v="1"/>
  </r>
  <r>
    <n v="455"/>
    <s v="lcs_length"/>
    <s v="indexing fault"/>
    <s v="output error"/>
    <s v="base-case impact"/>
    <s v="gemini-python-basic"/>
    <n v="0.33333333333333331"/>
    <x v="2"/>
    <x v="0"/>
    <n v="1"/>
    <n v="0"/>
    <n v="1"/>
  </r>
  <r>
    <n v="456"/>
    <s v="levenshtein"/>
    <s v="variable assign fault"/>
    <s v="output error"/>
    <s v="base-case impact"/>
    <s v="gemini-python-basic"/>
    <n v="0"/>
    <x v="2"/>
    <x v="0"/>
    <n v="0"/>
    <n v="0"/>
    <n v="0"/>
  </r>
  <r>
    <n v="457"/>
    <s v="lis"/>
    <s v="variable assign fault"/>
    <s v="output error"/>
    <s v="base-case impact"/>
    <s v="gemini-python-basic"/>
    <n v="0"/>
    <x v="2"/>
    <x v="0"/>
    <n v="0"/>
    <n v="0"/>
    <n v="0"/>
  </r>
  <r>
    <n v="458"/>
    <s v="longest_common_subsequence"/>
    <s v="indexing fault"/>
    <s v="output error"/>
    <s v="edge-case impact"/>
    <s v="gemini-python-basic"/>
    <n v="1"/>
    <x v="2"/>
    <x v="0"/>
    <n v="1"/>
    <n v="1"/>
    <n v="0"/>
  </r>
  <r>
    <n v="459"/>
    <s v="max_sublist_sum"/>
    <s v="variable assign fault"/>
    <s v="output error"/>
    <s v="base-case impact"/>
    <s v="gemini-python-basic"/>
    <n v="0.33333333333333331"/>
    <x v="2"/>
    <x v="0"/>
    <n v="1"/>
    <n v="0"/>
    <n v="1"/>
  </r>
  <r>
    <n v="460"/>
    <s v="mergesort"/>
    <s v="condition fault"/>
    <s v="infinite loop error"/>
    <s v="all-case impact"/>
    <s v="gemini-python-basic"/>
    <n v="1"/>
    <x v="2"/>
    <x v="0"/>
    <n v="1"/>
    <n v="1"/>
    <n v="0"/>
  </r>
  <r>
    <n v="461"/>
    <s v="minimum_spanning_tree"/>
    <s v="variable misuse fault"/>
    <s v="runtime error"/>
    <s v="all-case impact"/>
    <s v="gemini-python-basic"/>
    <n v="0"/>
    <x v="2"/>
    <x v="0"/>
    <n v="0"/>
    <n v="0"/>
    <n v="0"/>
  </r>
  <r>
    <n v="462"/>
    <s v="next_palindrome"/>
    <s v="variable assign fault"/>
    <s v="format error"/>
    <s v="edge-case impact"/>
    <s v="gemini-python-basic"/>
    <n v="0"/>
    <x v="2"/>
    <x v="0"/>
    <n v="0"/>
    <n v="0"/>
    <n v="0"/>
  </r>
  <r>
    <n v="463"/>
    <s v="next_permutation"/>
    <s v="condition fault"/>
    <s v="output error"/>
    <s v="all-case impact"/>
    <s v="gemini-python-basic"/>
    <n v="1"/>
    <x v="2"/>
    <x v="0"/>
    <n v="1"/>
    <n v="1"/>
    <n v="0"/>
  </r>
  <r>
    <n v="464"/>
    <s v="pascal"/>
    <s v="indexing fault"/>
    <s v="runtime error"/>
    <s v="base-case impact"/>
    <s v="gemini-python-basic"/>
    <n v="1"/>
    <x v="2"/>
    <x v="0"/>
    <n v="1"/>
    <n v="1"/>
    <n v="0"/>
  </r>
  <r>
    <n v="465"/>
    <s v="possible_change"/>
    <s v="condition fault"/>
    <s v="runtime error"/>
    <s v="edge-case impact"/>
    <s v="gemini-python-basic"/>
    <n v="0.66666666666666663"/>
    <x v="2"/>
    <x v="0"/>
    <n v="1"/>
    <n v="0"/>
    <n v="1"/>
  </r>
  <r>
    <n v="466"/>
    <s v="powerset"/>
    <s v="variable assign fault"/>
    <s v="output error"/>
    <s v="base-case impact"/>
    <s v="gemini-python-basic"/>
    <n v="1"/>
    <x v="2"/>
    <x v="0"/>
    <n v="1"/>
    <n v="1"/>
    <n v="0"/>
  </r>
  <r>
    <n v="467"/>
    <s v="quicksort"/>
    <s v="condition fault"/>
    <s v="output error"/>
    <s v="edge-case impact"/>
    <s v="gemini-python-basic"/>
    <n v="0.66666666666666663"/>
    <x v="2"/>
    <x v="0"/>
    <n v="1"/>
    <n v="0"/>
    <n v="1"/>
  </r>
  <r>
    <n v="468"/>
    <s v="reverse_linked_list"/>
    <s v="variable assign missing fault"/>
    <s v="output error"/>
    <s v="all-case impact"/>
    <s v="gemini-python-basic"/>
    <n v="0"/>
    <x v="2"/>
    <x v="0"/>
    <n v="0"/>
    <n v="0"/>
    <n v="0"/>
  </r>
  <r>
    <n v="469"/>
    <s v="rpn_eval"/>
    <s v="variable assign fault"/>
    <s v="output error"/>
    <s v="edge-case impact"/>
    <s v="gemini-python-basic"/>
    <n v="0"/>
    <x v="2"/>
    <x v="0"/>
    <n v="0"/>
    <n v="0"/>
    <n v="0"/>
  </r>
  <r>
    <n v="470"/>
    <s v="shortest_path_length"/>
    <s v="variable assign fault"/>
    <s v="output error"/>
    <s v="base-case impact"/>
    <s v="gemini-python-basic"/>
    <n v="0"/>
    <x v="2"/>
    <x v="0"/>
    <n v="0"/>
    <n v="0"/>
    <n v="0"/>
  </r>
  <r>
    <n v="471"/>
    <s v="shortest_path_lengths"/>
    <s v="indexing fault"/>
    <s v="output error"/>
    <s v="all-case impact"/>
    <s v="gemini-python-basic"/>
    <n v="0.33333333333333331"/>
    <x v="2"/>
    <x v="0"/>
    <n v="1"/>
    <n v="0"/>
    <n v="1"/>
  </r>
  <r>
    <n v="472"/>
    <s v="shortest_paths"/>
    <s v="variable misuse fault"/>
    <s v="output error"/>
    <s v="all-case impact"/>
    <s v="gemini-python-basic"/>
    <n v="1"/>
    <x v="2"/>
    <x v="0"/>
    <n v="1"/>
    <n v="1"/>
    <n v="0"/>
  </r>
  <r>
    <n v="473"/>
    <s v="shunting_yard"/>
    <s v="variable assign missing fault"/>
    <s v="output error"/>
    <s v="base-case impact"/>
    <s v="gemini-python-basic"/>
    <n v="1"/>
    <x v="2"/>
    <x v="0"/>
    <n v="1"/>
    <n v="1"/>
    <n v="0"/>
  </r>
  <r>
    <n v="474"/>
    <s v="sieve"/>
    <s v="condition fault"/>
    <s v="output error"/>
    <s v="base-case impact"/>
    <s v="gemini-python-basic"/>
    <n v="1"/>
    <x v="2"/>
    <x v="0"/>
    <n v="1"/>
    <n v="1"/>
    <n v="0"/>
  </r>
  <r>
    <n v="475"/>
    <s v="sqrt"/>
    <s v="condition fault"/>
    <s v="infinite loop error"/>
    <s v="base-case impact"/>
    <s v="gemini-python-basic"/>
    <n v="1"/>
    <x v="2"/>
    <x v="0"/>
    <n v="1"/>
    <n v="1"/>
    <n v="0"/>
  </r>
  <r>
    <n v="476"/>
    <s v="subsequences"/>
    <s v="variable assign fault"/>
    <s v="output error"/>
    <s v="edge-case impact"/>
    <s v="gemini-python-basic"/>
    <n v="0"/>
    <x v="2"/>
    <x v="0"/>
    <n v="0"/>
    <n v="0"/>
    <n v="0"/>
  </r>
  <r>
    <n v="477"/>
    <s v="to_base"/>
    <s v="variable assign fault"/>
    <s v="output error"/>
    <s v="base-case impact"/>
    <s v="gemini-python-basic"/>
    <n v="1"/>
    <x v="2"/>
    <x v="0"/>
    <n v="1"/>
    <n v="1"/>
    <n v="0"/>
  </r>
  <r>
    <n v="478"/>
    <s v="topological_ordering"/>
    <s v="condition fault"/>
    <s v="output error"/>
    <s v="all-case impact"/>
    <s v="gemini-python-basic"/>
    <n v="0.33333333333333331"/>
    <x v="2"/>
    <x v="0"/>
    <n v="1"/>
    <n v="0"/>
    <n v="1"/>
  </r>
  <r>
    <n v="479"/>
    <s v="wrap"/>
    <s v="variable assign missing fault"/>
    <s v="format error"/>
    <s v="all-case impact"/>
    <s v="gemini-python-basic"/>
    <n v="0"/>
    <x v="2"/>
    <x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E003E-F669-844D-87D3-F2823B489E2B}" name="PivotTable6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E7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axis="axisRow" showAll="0">
      <items count="7">
        <item x="0"/>
        <item m="1" x="5"/>
        <item m="1"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3"/>
    </i>
    <i>
      <x v="4"/>
    </i>
    <i>
      <x v="5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correct_ratio" fld="6" baseField="0" baseItem="0"/>
  </dataFields>
  <chartFormats count="9">
    <chartFormat chart="0" format="3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955E6-27CB-9641-B27E-B2A1C69E00DC}" name="PivotTable6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F6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Col" showAll="0">
      <items count="7">
        <item x="0"/>
        <item h="1" m="1" x="5"/>
        <item h="1" m="1"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3"/>
    </i>
    <i>
      <x v="4"/>
    </i>
    <i>
      <x v="5"/>
    </i>
    <i t="grand">
      <x/>
    </i>
  </colItems>
  <dataFields count="1">
    <dataField name="Average of correct_ratio" fld="6" subtotal="average" baseField="0" baseItem="0"/>
  </dataFields>
  <chartFormats count="32">
    <chartFormat chart="0" format="3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2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5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C6433-63AE-7D4D-87AF-BE9B77563D90}" name="PivotTable13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9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7">
        <item x="0"/>
        <item m="1" x="4"/>
        <item m="1" x="5"/>
        <item x="1"/>
        <item x="3"/>
        <item x="2"/>
        <item t="default"/>
      </items>
    </pivotField>
    <pivotField showAll="0"/>
    <pivotField dataField="1" showAll="0"/>
    <pivotField dataField="1" showAll="0"/>
  </pivotFields>
  <rowFields count="2">
    <field x="7"/>
    <field x="8"/>
  </rowFields>
  <rowItems count="16">
    <i>
      <x/>
    </i>
    <i r="1">
      <x/>
    </i>
    <i r="1">
      <x v="3"/>
    </i>
    <i r="1">
      <x v="4"/>
    </i>
    <i r="1">
      <x v="5"/>
    </i>
    <i>
      <x v="1"/>
    </i>
    <i r="1">
      <x/>
    </i>
    <i r="1">
      <x v="3"/>
    </i>
    <i r="1">
      <x v="4"/>
    </i>
    <i r="1">
      <x v="5"/>
    </i>
    <i>
      <x v="2"/>
    </i>
    <i r="1">
      <x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able" fld="10" subtotal="average" baseField="0" baseItem="0"/>
    <dataField name="Average of only avaliable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6BA02C-1779-A741-8A17-B2AF4DF414B4}" autoFormatId="16" applyNumberFormats="0" applyBorderFormats="0" applyFontFormats="0" applyPatternFormats="0" applyAlignmentFormats="0" applyWidthHeightFormats="0">
  <queryTableRefresh nextId="16" unboundColumnsRight="3">
    <queryTableFields count="14">
      <queryTableField id="1" name="Column1" tableColumnId="1"/>
      <queryTableField id="2" name="prog_name" tableColumnId="2"/>
      <queryTableField id="3" name="bug_type" tableColumnId="3"/>
      <queryTableField id="4" name="bug_consequence" tableColumnId="4"/>
      <queryTableField id="5" name="bug_impact" tableColumnId="5"/>
      <queryTableField id="6" name="exp_name" tableColumnId="6"/>
      <queryTableField id="7" name="correct_ratio" tableColumnId="7"/>
      <queryTableField id="8" name="prompt" tableColumnId="8"/>
      <queryTableField id="9" name="model" tableColumnId="9"/>
      <queryTableField id="10" name="available" tableColumnId="10"/>
      <queryTableField id="11" name="stable" tableColumnId="11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519865B-5D55-1D41-9F88-D1EF027A7177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Column1" tableColumnId="1"/>
      <queryTableField id="2" name="prog_name" tableColumnId="2"/>
      <queryTableField id="3" name="bug_type" tableColumnId="3"/>
      <queryTableField id="4" name="bug_consequence" tableColumnId="4"/>
      <queryTableField id="5" name="bug_impact" tableColumnId="5"/>
      <queryTableField id="6" name="exp_name" tableColumnId="6"/>
      <queryTableField id="7" name="correct_ratio" tableColumnId="7"/>
      <queryTableField id="8" name="prompt" tableColumnId="8"/>
      <queryTableField id="9" name="model" tableColumnId="9"/>
      <queryTableField id="10" name="available" tableColumnId="10"/>
      <queryTableField id="11" name="stable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C83F6B-35D8-1C42-BCD3-E9495CE697CC}" name="correct_ratio_df__2" displayName="correct_ratio_df__2" ref="A1:N481" tableType="queryTable" totalsRowShown="0">
  <autoFilter ref="A1:N481" xr:uid="{2AC83F6B-35D8-1C42-BCD3-E9495CE697CC}"/>
  <tableColumns count="14">
    <tableColumn id="1" xr3:uid="{1C0ADDAF-D8DB-5C44-9C0D-1D1B1C12D1AB}" uniqueName="1" name="Column1" queryTableFieldId="1"/>
    <tableColumn id="2" xr3:uid="{E8766C50-884D-3F41-9757-24564A2A2420}" uniqueName="2" name="prog_name" queryTableFieldId="2" dataDxfId="16"/>
    <tableColumn id="3" xr3:uid="{B35252DB-98F8-D243-88C6-61F4AC9C2007}" uniqueName="3" name="bug_type" queryTableFieldId="3" dataDxfId="15"/>
    <tableColumn id="4" xr3:uid="{56BBBDAE-0966-1940-8C29-4F09531C7F1A}" uniqueName="4" name="bug_consequence" queryTableFieldId="4" dataDxfId="14"/>
    <tableColumn id="5" xr3:uid="{F39A5736-4971-7748-A402-66E02487DE7E}" uniqueName="5" name="bug_impact" queryTableFieldId="5" dataDxfId="13"/>
    <tableColumn id="6" xr3:uid="{14C48087-C80B-114F-A751-9C2CB8850787}" uniqueName="6" name="exp_name" queryTableFieldId="6" dataDxfId="12"/>
    <tableColumn id="7" xr3:uid="{5BC8FAFB-0B86-4149-881E-E5BC6AA21AE9}" uniqueName="7" name="correct_ratio" queryTableFieldId="7"/>
    <tableColumn id="8" xr3:uid="{58054FBD-4C14-E947-8815-4AD9BBE0050B}" uniqueName="8" name="prompt" queryTableFieldId="8" dataDxfId="11"/>
    <tableColumn id="9" xr3:uid="{7552D252-1194-5843-A807-4D0BB175545F}" uniqueName="9" name="model" queryTableFieldId="9" dataDxfId="10"/>
    <tableColumn id="10" xr3:uid="{64CFEB5E-76FF-1645-90E0-D9D5A912A4BB}" uniqueName="10" name="available" queryTableFieldId="10"/>
    <tableColumn id="11" xr3:uid="{42197C17-6DA8-7841-8CFB-81651B788A08}" uniqueName="11" name="stable" queryTableFieldId="11"/>
    <tableColumn id="13" xr3:uid="{4D61862A-C620-0647-9A99-E367C5BBCE52}" uniqueName="13" name="calc available" queryTableFieldId="13" dataDxfId="9">
      <calculatedColumnFormula>N(correct_ratio_df__2[[#This Row],[correct_ratio]]&gt;0)</calculatedColumnFormula>
    </tableColumn>
    <tableColumn id="14" xr3:uid="{9D43D808-2772-1147-92F9-CABC8060E254}" uniqueName="14" name="clac stable" queryTableFieldId="14" dataDxfId="8">
      <calculatedColumnFormula>N(correct_ratio_df__2[[#This Row],[correct_ratio]]=1)</calculatedColumnFormula>
    </tableColumn>
    <tableColumn id="15" xr3:uid="{C420422C-0473-7746-8B86-8330E970A034}" uniqueName="15" name="only avaliable" queryTableFieldId="15" dataDxfId="7">
      <calculatedColumnFormula>correct_ratio_df__2[[#This Row],[calc available]]-correct_ratio_df__2[[#This Row],[clac stable]]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191C91-21F3-1F42-B623-6F904C946CA7}" name="correct_ratio_df__3" displayName="correct_ratio_df__3" ref="A1:L481" tableType="queryTable" totalsRowShown="0">
  <autoFilter ref="A1:L481" xr:uid="{BC191C91-21F3-1F42-B623-6F904C946CA7}"/>
  <tableColumns count="12">
    <tableColumn id="1" xr3:uid="{0FB3CECD-595B-F74E-AEA7-8930D9DC9342}" uniqueName="1" name="Column1" queryTableFieldId="1"/>
    <tableColumn id="2" xr3:uid="{57478454-DE84-754C-962B-8AB98A141B6B}" uniqueName="2" name="prog_name" queryTableFieldId="2" dataDxfId="6"/>
    <tableColumn id="3" xr3:uid="{854ED110-DA4D-9F4A-8110-61DB269C6B03}" uniqueName="3" name="bug_type" queryTableFieldId="3" dataDxfId="5"/>
    <tableColumn id="4" xr3:uid="{592D1E0B-D3A2-3F4F-8C9A-B692C92352A6}" uniqueName="4" name="bug_consequence" queryTableFieldId="4" dataDxfId="4"/>
    <tableColumn id="5" xr3:uid="{B6D84D67-E312-B54A-87F2-9B5D20074919}" uniqueName="5" name="bug_impact" queryTableFieldId="5" dataDxfId="3"/>
    <tableColumn id="6" xr3:uid="{480BEC4F-F129-344B-85DD-B10073999259}" uniqueName="6" name="exp_name" queryTableFieldId="6" dataDxfId="2"/>
    <tableColumn id="7" xr3:uid="{E6C8F4D4-B01D-194E-A7F7-20A2E1CEEE44}" uniqueName="7" name="correct_ratio" queryTableFieldId="7"/>
    <tableColumn id="8" xr3:uid="{0E4EF149-42E5-E744-A50C-56904688CCDF}" uniqueName="8" name="prompt" queryTableFieldId="8" dataDxfId="1"/>
    <tableColumn id="9" xr3:uid="{916FD8C4-5C69-E340-B5B5-9FC14FC0FB6F}" uniqueName="9" name="model" queryTableFieldId="9" dataDxfId="0"/>
    <tableColumn id="10" xr3:uid="{DFFF9D58-25B3-5248-A80E-C27A4BB2C98E}" uniqueName="10" name="available" queryTableFieldId="10"/>
    <tableColumn id="11" xr3:uid="{1A2F9E8C-858F-904C-B0FF-B4356F6ADB4A}" uniqueName="11" name="stable" queryTableFieldId="11"/>
    <tableColumn id="12" xr3:uid="{E31AE31D-F51F-684B-83DB-77527355044D}" uniqueName="12" name="only avaliable" queryTableFieldId="12" dataDxfId="17">
      <calculatedColumnFormula>correct_ratio_df__3[[#This Row],[available]]-correct_ratio_df__3[[#This Row],[stable]]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4B0C-BDF7-A24D-BD06-3849DEA7AC0D}">
  <dimension ref="A1:N481"/>
  <sheetViews>
    <sheetView tabSelected="1" topLeftCell="A32" workbookViewId="0">
      <selection activeCell="D53" sqref="D53"/>
    </sheetView>
  </sheetViews>
  <sheetFormatPr baseColWidth="10" defaultRowHeight="16" x14ac:dyDescent="0.2"/>
  <cols>
    <col min="1" max="1" width="11.1640625" bestFit="1" customWidth="1"/>
    <col min="2" max="2" width="26.83203125" bestFit="1" customWidth="1"/>
    <col min="3" max="3" width="23.6640625" bestFit="1" customWidth="1"/>
    <col min="4" max="4" width="18.5" bestFit="1" customWidth="1"/>
    <col min="5" max="5" width="15.5" bestFit="1" customWidth="1"/>
    <col min="6" max="6" width="24.83203125" bestFit="1" customWidth="1"/>
    <col min="7" max="7" width="14.33203125" bestFit="1" customWidth="1"/>
    <col min="8" max="8" width="12.1640625" bestFit="1" customWidth="1"/>
    <col min="9" max="9" width="8.83203125" bestFit="1" customWidth="1"/>
    <col min="10" max="10" width="11" bestFit="1" customWidth="1"/>
    <col min="11" max="11" width="8.83203125" bestFit="1" customWidth="1"/>
    <col min="12" max="12" width="14.83203125" bestFit="1" customWidth="1"/>
    <col min="13" max="13" width="12.6640625" bestFit="1" customWidth="1"/>
    <col min="14" max="14" width="14.6640625" bestFit="1" customWidth="1"/>
  </cols>
  <sheetData>
    <row r="1" spans="1:14" x14ac:dyDescent="0.2">
      <c r="A1" t="s">
        <v>36</v>
      </c>
      <c r="B1" t="s">
        <v>40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88</v>
      </c>
      <c r="M1" t="s">
        <v>89</v>
      </c>
      <c r="N1" t="s">
        <v>37</v>
      </c>
    </row>
    <row r="2" spans="1:14" x14ac:dyDescent="0.2">
      <c r="A2">
        <v>0</v>
      </c>
      <c r="B2" s="2" t="s">
        <v>41</v>
      </c>
      <c r="C2" s="2" t="s">
        <v>9</v>
      </c>
      <c r="D2" s="2" t="s">
        <v>10</v>
      </c>
      <c r="E2" s="2" t="s">
        <v>11</v>
      </c>
      <c r="F2" s="2" t="s">
        <v>12</v>
      </c>
      <c r="G2">
        <v>1</v>
      </c>
      <c r="H2" s="2" t="s">
        <v>13</v>
      </c>
      <c r="I2" s="2" t="s">
        <v>85</v>
      </c>
      <c r="L2">
        <f>N(correct_ratio_df__2[[#This Row],[correct_ratio]]&gt;0)</f>
        <v>1</v>
      </c>
      <c r="M2">
        <f>N(correct_ratio_df__2[[#This Row],[correct_ratio]]=1)</f>
        <v>1</v>
      </c>
      <c r="N2" s="2">
        <f>correct_ratio_df__2[[#This Row],[calc available]]-correct_ratio_df__2[[#This Row],[clac stable]]</f>
        <v>0</v>
      </c>
    </row>
    <row r="3" spans="1:14" x14ac:dyDescent="0.2">
      <c r="A3">
        <v>1</v>
      </c>
      <c r="B3" s="2" t="s">
        <v>42</v>
      </c>
      <c r="C3" s="2" t="s">
        <v>14</v>
      </c>
      <c r="D3" s="2" t="s">
        <v>10</v>
      </c>
      <c r="E3" s="2" t="s">
        <v>15</v>
      </c>
      <c r="F3" s="2" t="s">
        <v>12</v>
      </c>
      <c r="G3">
        <v>0.66666666666666663</v>
      </c>
      <c r="H3" s="2" t="s">
        <v>13</v>
      </c>
      <c r="I3" s="2" t="s">
        <v>85</v>
      </c>
      <c r="L3" s="2">
        <f>N(correct_ratio_df__2[[#This Row],[correct_ratio]]&gt;0)</f>
        <v>1</v>
      </c>
      <c r="M3" s="2">
        <f>N(correct_ratio_df__2[[#This Row],[correct_ratio]]=1)</f>
        <v>0</v>
      </c>
      <c r="N3" s="2">
        <f>correct_ratio_df__2[[#This Row],[calc available]]-correct_ratio_df__2[[#This Row],[clac stable]]</f>
        <v>1</v>
      </c>
    </row>
    <row r="4" spans="1:14" x14ac:dyDescent="0.2">
      <c r="A4">
        <v>2</v>
      </c>
      <c r="B4" s="2" t="s">
        <v>43</v>
      </c>
      <c r="C4" s="2" t="s">
        <v>16</v>
      </c>
      <c r="D4" s="2" t="s">
        <v>17</v>
      </c>
      <c r="E4" s="2" t="s">
        <v>11</v>
      </c>
      <c r="F4" s="2" t="s">
        <v>12</v>
      </c>
      <c r="G4">
        <v>1</v>
      </c>
      <c r="H4" s="2" t="s">
        <v>13</v>
      </c>
      <c r="I4" s="2" t="s">
        <v>85</v>
      </c>
      <c r="L4" s="2">
        <f>N(correct_ratio_df__2[[#This Row],[correct_ratio]]&gt;0)</f>
        <v>1</v>
      </c>
      <c r="M4" s="2">
        <f>N(correct_ratio_df__2[[#This Row],[correct_ratio]]=1)</f>
        <v>1</v>
      </c>
      <c r="N4" s="2">
        <f>correct_ratio_df__2[[#This Row],[calc available]]-correct_ratio_df__2[[#This Row],[clac stable]]</f>
        <v>0</v>
      </c>
    </row>
    <row r="5" spans="1:14" x14ac:dyDescent="0.2">
      <c r="A5">
        <v>3</v>
      </c>
      <c r="B5" s="2" t="s">
        <v>44</v>
      </c>
      <c r="C5" s="2" t="s">
        <v>16</v>
      </c>
      <c r="D5" s="2" t="s">
        <v>10</v>
      </c>
      <c r="E5" s="2" t="s">
        <v>15</v>
      </c>
      <c r="F5" s="2" t="s">
        <v>12</v>
      </c>
      <c r="G5">
        <v>1</v>
      </c>
      <c r="H5" s="2" t="s">
        <v>13</v>
      </c>
      <c r="I5" s="2" t="s">
        <v>85</v>
      </c>
      <c r="L5" s="2">
        <f>N(correct_ratio_df__2[[#This Row],[correct_ratio]]&gt;0)</f>
        <v>1</v>
      </c>
      <c r="M5" s="2">
        <f>N(correct_ratio_df__2[[#This Row],[correct_ratio]]=1)</f>
        <v>1</v>
      </c>
      <c r="N5" s="2">
        <f>correct_ratio_df__2[[#This Row],[calc available]]-correct_ratio_df__2[[#This Row],[clac stable]]</f>
        <v>0</v>
      </c>
    </row>
    <row r="6" spans="1:14" x14ac:dyDescent="0.2">
      <c r="A6">
        <v>4</v>
      </c>
      <c r="B6" s="2" t="s">
        <v>45</v>
      </c>
      <c r="C6" s="2" t="s">
        <v>14</v>
      </c>
      <c r="D6" s="2" t="s">
        <v>18</v>
      </c>
      <c r="E6" s="2" t="s">
        <v>15</v>
      </c>
      <c r="F6" s="2" t="s">
        <v>12</v>
      </c>
      <c r="G6">
        <v>1</v>
      </c>
      <c r="H6" s="2" t="s">
        <v>13</v>
      </c>
      <c r="I6" s="2" t="s">
        <v>85</v>
      </c>
      <c r="L6" s="2">
        <f>N(correct_ratio_df__2[[#This Row],[correct_ratio]]&gt;0)</f>
        <v>1</v>
      </c>
      <c r="M6" s="2">
        <f>N(correct_ratio_df__2[[#This Row],[correct_ratio]]=1)</f>
        <v>1</v>
      </c>
      <c r="N6" s="2">
        <f>correct_ratio_df__2[[#This Row],[calc available]]-correct_ratio_df__2[[#This Row],[clac stable]]</f>
        <v>0</v>
      </c>
    </row>
    <row r="7" spans="1:14" x14ac:dyDescent="0.2">
      <c r="A7">
        <v>5</v>
      </c>
      <c r="B7" s="2" t="s">
        <v>46</v>
      </c>
      <c r="C7" s="2" t="s">
        <v>14</v>
      </c>
      <c r="D7" s="2" t="s">
        <v>10</v>
      </c>
      <c r="E7" s="2" t="s">
        <v>15</v>
      </c>
      <c r="F7" s="2" t="s">
        <v>12</v>
      </c>
      <c r="G7">
        <v>1</v>
      </c>
      <c r="H7" s="2" t="s">
        <v>13</v>
      </c>
      <c r="I7" s="2" t="s">
        <v>85</v>
      </c>
      <c r="L7" s="2">
        <f>N(correct_ratio_df__2[[#This Row],[correct_ratio]]&gt;0)</f>
        <v>1</v>
      </c>
      <c r="M7" s="2">
        <f>N(correct_ratio_df__2[[#This Row],[correct_ratio]]=1)</f>
        <v>1</v>
      </c>
      <c r="N7" s="2">
        <f>correct_ratio_df__2[[#This Row],[calc available]]-correct_ratio_df__2[[#This Row],[clac stable]]</f>
        <v>0</v>
      </c>
    </row>
    <row r="8" spans="1:14" x14ac:dyDescent="0.2">
      <c r="A8">
        <v>6</v>
      </c>
      <c r="B8" s="2" t="s">
        <v>47</v>
      </c>
      <c r="C8" s="2" t="s">
        <v>19</v>
      </c>
      <c r="D8" s="2" t="s">
        <v>10</v>
      </c>
      <c r="E8" s="2" t="s">
        <v>15</v>
      </c>
      <c r="F8" s="2" t="s">
        <v>12</v>
      </c>
      <c r="G8">
        <v>1</v>
      </c>
      <c r="H8" s="2" t="s">
        <v>13</v>
      </c>
      <c r="I8" s="2" t="s">
        <v>85</v>
      </c>
      <c r="L8" s="2">
        <f>N(correct_ratio_df__2[[#This Row],[correct_ratio]]&gt;0)</f>
        <v>1</v>
      </c>
      <c r="M8" s="2">
        <f>N(correct_ratio_df__2[[#This Row],[correct_ratio]]=1)</f>
        <v>1</v>
      </c>
      <c r="N8" s="2">
        <f>correct_ratio_df__2[[#This Row],[calc available]]-correct_ratio_df__2[[#This Row],[clac stable]]</f>
        <v>0</v>
      </c>
    </row>
    <row r="9" spans="1:14" x14ac:dyDescent="0.2">
      <c r="A9">
        <v>7</v>
      </c>
      <c r="B9" s="2" t="s">
        <v>48</v>
      </c>
      <c r="C9" s="2" t="s">
        <v>16</v>
      </c>
      <c r="D9" s="2" t="s">
        <v>20</v>
      </c>
      <c r="E9" s="2" t="s">
        <v>21</v>
      </c>
      <c r="F9" s="2" t="s">
        <v>12</v>
      </c>
      <c r="G9">
        <v>1</v>
      </c>
      <c r="H9" s="2" t="s">
        <v>13</v>
      </c>
      <c r="I9" s="2" t="s">
        <v>85</v>
      </c>
      <c r="L9" s="2">
        <f>N(correct_ratio_df__2[[#This Row],[correct_ratio]]&gt;0)</f>
        <v>1</v>
      </c>
      <c r="M9" s="2">
        <f>N(correct_ratio_df__2[[#This Row],[correct_ratio]]=1)</f>
        <v>1</v>
      </c>
      <c r="N9" s="2">
        <f>correct_ratio_df__2[[#This Row],[calc available]]-correct_ratio_df__2[[#This Row],[clac stable]]</f>
        <v>0</v>
      </c>
    </row>
    <row r="10" spans="1:14" x14ac:dyDescent="0.2">
      <c r="A10">
        <v>8</v>
      </c>
      <c r="B10" s="2" t="s">
        <v>49</v>
      </c>
      <c r="C10" s="2" t="s">
        <v>16</v>
      </c>
      <c r="D10" s="2" t="s">
        <v>10</v>
      </c>
      <c r="E10" s="2" t="s">
        <v>21</v>
      </c>
      <c r="F10" s="2" t="s">
        <v>12</v>
      </c>
      <c r="G10">
        <v>1</v>
      </c>
      <c r="H10" s="2" t="s">
        <v>13</v>
      </c>
      <c r="I10" s="2" t="s">
        <v>85</v>
      </c>
      <c r="L10" s="2">
        <f>N(correct_ratio_df__2[[#This Row],[correct_ratio]]&gt;0)</f>
        <v>1</v>
      </c>
      <c r="M10" s="2">
        <f>N(correct_ratio_df__2[[#This Row],[correct_ratio]]=1)</f>
        <v>1</v>
      </c>
      <c r="N10" s="2">
        <f>correct_ratio_df__2[[#This Row],[calc available]]-correct_ratio_df__2[[#This Row],[clac stable]]</f>
        <v>0</v>
      </c>
    </row>
    <row r="11" spans="1:14" x14ac:dyDescent="0.2">
      <c r="A11">
        <v>9</v>
      </c>
      <c r="B11" s="2" t="s">
        <v>50</v>
      </c>
      <c r="C11" s="2" t="s">
        <v>9</v>
      </c>
      <c r="D11" s="2" t="s">
        <v>17</v>
      </c>
      <c r="E11" s="2" t="s">
        <v>21</v>
      </c>
      <c r="F11" s="2" t="s">
        <v>12</v>
      </c>
      <c r="G11">
        <v>1</v>
      </c>
      <c r="H11" s="2" t="s">
        <v>13</v>
      </c>
      <c r="I11" s="2" t="s">
        <v>85</v>
      </c>
      <c r="L11" s="2">
        <f>N(correct_ratio_df__2[[#This Row],[correct_ratio]]&gt;0)</f>
        <v>1</v>
      </c>
      <c r="M11" s="2">
        <f>N(correct_ratio_df__2[[#This Row],[correct_ratio]]=1)</f>
        <v>1</v>
      </c>
      <c r="N11" s="2">
        <f>correct_ratio_df__2[[#This Row],[calc available]]-correct_ratio_df__2[[#This Row],[clac stable]]</f>
        <v>0</v>
      </c>
    </row>
    <row r="12" spans="1:14" x14ac:dyDescent="0.2">
      <c r="A12">
        <v>10</v>
      </c>
      <c r="B12" s="2" t="s">
        <v>51</v>
      </c>
      <c r="C12" s="2" t="s">
        <v>16</v>
      </c>
      <c r="D12" s="2" t="s">
        <v>17</v>
      </c>
      <c r="E12" s="2" t="s">
        <v>11</v>
      </c>
      <c r="F12" s="2" t="s">
        <v>12</v>
      </c>
      <c r="G12">
        <v>1</v>
      </c>
      <c r="H12" s="2" t="s">
        <v>13</v>
      </c>
      <c r="I12" s="2" t="s">
        <v>85</v>
      </c>
      <c r="L12" s="2">
        <f>N(correct_ratio_df__2[[#This Row],[correct_ratio]]&gt;0)</f>
        <v>1</v>
      </c>
      <c r="M12" s="2">
        <f>N(correct_ratio_df__2[[#This Row],[correct_ratio]]=1)</f>
        <v>1</v>
      </c>
      <c r="N12" s="2">
        <f>correct_ratio_df__2[[#This Row],[calc available]]-correct_ratio_df__2[[#This Row],[clac stable]]</f>
        <v>0</v>
      </c>
    </row>
    <row r="13" spans="1:14" x14ac:dyDescent="0.2">
      <c r="A13">
        <v>11</v>
      </c>
      <c r="B13" s="2" t="s">
        <v>52</v>
      </c>
      <c r="C13" s="2" t="s">
        <v>9</v>
      </c>
      <c r="D13" s="2" t="s">
        <v>17</v>
      </c>
      <c r="E13" s="2" t="s">
        <v>15</v>
      </c>
      <c r="F13" s="2" t="s">
        <v>12</v>
      </c>
      <c r="G13">
        <v>1</v>
      </c>
      <c r="H13" s="2" t="s">
        <v>13</v>
      </c>
      <c r="I13" s="2" t="s">
        <v>85</v>
      </c>
      <c r="L13" s="2">
        <f>N(correct_ratio_df__2[[#This Row],[correct_ratio]]&gt;0)</f>
        <v>1</v>
      </c>
      <c r="M13" s="2">
        <f>N(correct_ratio_df__2[[#This Row],[correct_ratio]]=1)</f>
        <v>1</v>
      </c>
      <c r="N13" s="2">
        <f>correct_ratio_df__2[[#This Row],[calc available]]-correct_ratio_df__2[[#This Row],[clac stable]]</f>
        <v>0</v>
      </c>
    </row>
    <row r="14" spans="1:14" x14ac:dyDescent="0.2">
      <c r="A14">
        <v>12</v>
      </c>
      <c r="B14" s="2" t="s">
        <v>53</v>
      </c>
      <c r="C14" s="2" t="s">
        <v>19</v>
      </c>
      <c r="D14" s="2" t="s">
        <v>17</v>
      </c>
      <c r="E14" s="2" t="s">
        <v>21</v>
      </c>
      <c r="F14" s="2" t="s">
        <v>12</v>
      </c>
      <c r="G14">
        <v>1</v>
      </c>
      <c r="H14" s="2" t="s">
        <v>13</v>
      </c>
      <c r="I14" s="2" t="s">
        <v>85</v>
      </c>
      <c r="L14" s="2">
        <f>N(correct_ratio_df__2[[#This Row],[correct_ratio]]&gt;0)</f>
        <v>1</v>
      </c>
      <c r="M14" s="2">
        <f>N(correct_ratio_df__2[[#This Row],[correct_ratio]]=1)</f>
        <v>1</v>
      </c>
      <c r="N14" s="2">
        <f>correct_ratio_df__2[[#This Row],[calc available]]-correct_ratio_df__2[[#This Row],[clac stable]]</f>
        <v>0</v>
      </c>
    </row>
    <row r="15" spans="1:14" x14ac:dyDescent="0.2">
      <c r="A15">
        <v>13</v>
      </c>
      <c r="B15" s="2" t="s">
        <v>54</v>
      </c>
      <c r="C15" s="2" t="s">
        <v>14</v>
      </c>
      <c r="D15" s="2" t="s">
        <v>17</v>
      </c>
      <c r="E15" s="2" t="s">
        <v>15</v>
      </c>
      <c r="F15" s="2" t="s">
        <v>12</v>
      </c>
      <c r="G15">
        <v>0</v>
      </c>
      <c r="H15" s="2" t="s">
        <v>13</v>
      </c>
      <c r="I15" s="2" t="s">
        <v>85</v>
      </c>
      <c r="L15" s="2">
        <f>N(correct_ratio_df__2[[#This Row],[correct_ratio]]&gt;0)</f>
        <v>0</v>
      </c>
      <c r="M15" s="2">
        <f>N(correct_ratio_df__2[[#This Row],[correct_ratio]]=1)</f>
        <v>0</v>
      </c>
      <c r="N15" s="2">
        <f>correct_ratio_df__2[[#This Row],[calc available]]-correct_ratio_df__2[[#This Row],[clac stable]]</f>
        <v>0</v>
      </c>
    </row>
    <row r="16" spans="1:14" x14ac:dyDescent="0.2">
      <c r="A16">
        <v>14</v>
      </c>
      <c r="B16" s="2" t="s">
        <v>55</v>
      </c>
      <c r="C16" s="2" t="s">
        <v>9</v>
      </c>
      <c r="D16" s="2" t="s">
        <v>18</v>
      </c>
      <c r="E16" s="2" t="s">
        <v>21</v>
      </c>
      <c r="F16" s="2" t="s">
        <v>12</v>
      </c>
      <c r="G16">
        <v>0.66666666666666663</v>
      </c>
      <c r="H16" s="2" t="s">
        <v>13</v>
      </c>
      <c r="I16" s="2" t="s">
        <v>85</v>
      </c>
      <c r="L16" s="2">
        <f>N(correct_ratio_df__2[[#This Row],[correct_ratio]]&gt;0)</f>
        <v>1</v>
      </c>
      <c r="M16" s="2">
        <f>N(correct_ratio_df__2[[#This Row],[correct_ratio]]=1)</f>
        <v>0</v>
      </c>
      <c r="N16" s="2">
        <f>correct_ratio_df__2[[#This Row],[calc available]]-correct_ratio_df__2[[#This Row],[clac stable]]</f>
        <v>1</v>
      </c>
    </row>
    <row r="17" spans="1:14" x14ac:dyDescent="0.2">
      <c r="A17">
        <v>15</v>
      </c>
      <c r="B17" s="2" t="s">
        <v>56</v>
      </c>
      <c r="C17" s="2" t="s">
        <v>19</v>
      </c>
      <c r="D17" s="2" t="s">
        <v>17</v>
      </c>
      <c r="E17" s="2" t="s">
        <v>21</v>
      </c>
      <c r="F17" s="2" t="s">
        <v>12</v>
      </c>
      <c r="G17">
        <v>1</v>
      </c>
      <c r="H17" s="2" t="s">
        <v>13</v>
      </c>
      <c r="I17" s="2" t="s">
        <v>85</v>
      </c>
      <c r="L17" s="2">
        <f>N(correct_ratio_df__2[[#This Row],[correct_ratio]]&gt;0)</f>
        <v>1</v>
      </c>
      <c r="M17" s="2">
        <f>N(correct_ratio_df__2[[#This Row],[correct_ratio]]=1)</f>
        <v>1</v>
      </c>
      <c r="N17" s="2">
        <f>correct_ratio_df__2[[#This Row],[calc available]]-correct_ratio_df__2[[#This Row],[clac stable]]</f>
        <v>0</v>
      </c>
    </row>
    <row r="18" spans="1:14" x14ac:dyDescent="0.2">
      <c r="A18">
        <v>16</v>
      </c>
      <c r="B18" s="2" t="s">
        <v>57</v>
      </c>
      <c r="C18" s="2" t="s">
        <v>9</v>
      </c>
      <c r="D18" s="2" t="s">
        <v>17</v>
      </c>
      <c r="E18" s="2" t="s">
        <v>21</v>
      </c>
      <c r="F18" s="2" t="s">
        <v>12</v>
      </c>
      <c r="G18">
        <v>1</v>
      </c>
      <c r="H18" s="2" t="s">
        <v>13</v>
      </c>
      <c r="I18" s="2" t="s">
        <v>85</v>
      </c>
      <c r="L18" s="2">
        <f>N(correct_ratio_df__2[[#This Row],[correct_ratio]]&gt;0)</f>
        <v>1</v>
      </c>
      <c r="M18" s="2">
        <f>N(correct_ratio_df__2[[#This Row],[correct_ratio]]=1)</f>
        <v>1</v>
      </c>
      <c r="N18" s="2">
        <f>correct_ratio_df__2[[#This Row],[calc available]]-correct_ratio_df__2[[#This Row],[clac stable]]</f>
        <v>0</v>
      </c>
    </row>
    <row r="19" spans="1:14" x14ac:dyDescent="0.2">
      <c r="A19">
        <v>17</v>
      </c>
      <c r="B19" s="2" t="s">
        <v>58</v>
      </c>
      <c r="C19" s="2" t="s">
        <v>9</v>
      </c>
      <c r="D19" s="2" t="s">
        <v>17</v>
      </c>
      <c r="E19" s="2" t="s">
        <v>21</v>
      </c>
      <c r="F19" s="2" t="s">
        <v>12</v>
      </c>
      <c r="G19">
        <v>0.66666666666666663</v>
      </c>
      <c r="H19" s="2" t="s">
        <v>13</v>
      </c>
      <c r="I19" s="2" t="s">
        <v>85</v>
      </c>
      <c r="L19" s="2">
        <f>N(correct_ratio_df__2[[#This Row],[correct_ratio]]&gt;0)</f>
        <v>1</v>
      </c>
      <c r="M19" s="2">
        <f>N(correct_ratio_df__2[[#This Row],[correct_ratio]]=1)</f>
        <v>0</v>
      </c>
      <c r="N19" s="2">
        <f>correct_ratio_df__2[[#This Row],[calc available]]-correct_ratio_df__2[[#This Row],[clac stable]]</f>
        <v>1</v>
      </c>
    </row>
    <row r="20" spans="1:14" x14ac:dyDescent="0.2">
      <c r="A20">
        <v>18</v>
      </c>
      <c r="B20" s="2" t="s">
        <v>59</v>
      </c>
      <c r="C20" s="2" t="s">
        <v>19</v>
      </c>
      <c r="D20" s="2" t="s">
        <v>17</v>
      </c>
      <c r="E20" s="2" t="s">
        <v>15</v>
      </c>
      <c r="F20" s="2" t="s">
        <v>12</v>
      </c>
      <c r="G20">
        <v>1</v>
      </c>
      <c r="H20" s="2" t="s">
        <v>13</v>
      </c>
      <c r="I20" s="2" t="s">
        <v>85</v>
      </c>
      <c r="L20" s="2">
        <f>N(correct_ratio_df__2[[#This Row],[correct_ratio]]&gt;0)</f>
        <v>1</v>
      </c>
      <c r="M20" s="2">
        <f>N(correct_ratio_df__2[[#This Row],[correct_ratio]]=1)</f>
        <v>1</v>
      </c>
      <c r="N20" s="2">
        <f>correct_ratio_df__2[[#This Row],[calc available]]-correct_ratio_df__2[[#This Row],[clac stable]]</f>
        <v>0</v>
      </c>
    </row>
    <row r="21" spans="1:14" x14ac:dyDescent="0.2">
      <c r="A21">
        <v>19</v>
      </c>
      <c r="B21" s="2" t="s">
        <v>60</v>
      </c>
      <c r="C21" s="2" t="s">
        <v>9</v>
      </c>
      <c r="D21" s="2" t="s">
        <v>17</v>
      </c>
      <c r="E21" s="2" t="s">
        <v>21</v>
      </c>
      <c r="F21" s="2" t="s">
        <v>12</v>
      </c>
      <c r="G21">
        <v>0.33333333333333331</v>
      </c>
      <c r="H21" s="2" t="s">
        <v>13</v>
      </c>
      <c r="I21" s="2" t="s">
        <v>85</v>
      </c>
      <c r="L21" s="2">
        <f>N(correct_ratio_df__2[[#This Row],[correct_ratio]]&gt;0)</f>
        <v>1</v>
      </c>
      <c r="M21" s="2">
        <f>N(correct_ratio_df__2[[#This Row],[correct_ratio]]=1)</f>
        <v>0</v>
      </c>
      <c r="N21" s="2">
        <f>correct_ratio_df__2[[#This Row],[calc available]]-correct_ratio_df__2[[#This Row],[clac stable]]</f>
        <v>1</v>
      </c>
    </row>
    <row r="22" spans="1:14" x14ac:dyDescent="0.2">
      <c r="A22">
        <v>20</v>
      </c>
      <c r="B22" s="2" t="s">
        <v>61</v>
      </c>
      <c r="C22" s="2" t="s">
        <v>14</v>
      </c>
      <c r="D22" s="2" t="s">
        <v>10</v>
      </c>
      <c r="E22" s="2" t="s">
        <v>11</v>
      </c>
      <c r="F22" s="2" t="s">
        <v>12</v>
      </c>
      <c r="G22">
        <v>1</v>
      </c>
      <c r="H22" s="2" t="s">
        <v>13</v>
      </c>
      <c r="I22" s="2" t="s">
        <v>85</v>
      </c>
      <c r="L22" s="2">
        <f>N(correct_ratio_df__2[[#This Row],[correct_ratio]]&gt;0)</f>
        <v>1</v>
      </c>
      <c r="M22" s="2">
        <f>N(correct_ratio_df__2[[#This Row],[correct_ratio]]=1)</f>
        <v>1</v>
      </c>
      <c r="N22" s="2">
        <f>correct_ratio_df__2[[#This Row],[calc available]]-correct_ratio_df__2[[#This Row],[clac stable]]</f>
        <v>0</v>
      </c>
    </row>
    <row r="23" spans="1:14" x14ac:dyDescent="0.2">
      <c r="A23">
        <v>21</v>
      </c>
      <c r="B23" s="2" t="s">
        <v>62</v>
      </c>
      <c r="C23" s="2" t="s">
        <v>16</v>
      </c>
      <c r="D23" s="2" t="s">
        <v>18</v>
      </c>
      <c r="E23" s="2" t="s">
        <v>11</v>
      </c>
      <c r="F23" s="2" t="s">
        <v>12</v>
      </c>
      <c r="G23">
        <v>0</v>
      </c>
      <c r="H23" s="2" t="s">
        <v>13</v>
      </c>
      <c r="I23" s="2" t="s">
        <v>85</v>
      </c>
      <c r="L23" s="2">
        <f>N(correct_ratio_df__2[[#This Row],[correct_ratio]]&gt;0)</f>
        <v>0</v>
      </c>
      <c r="M23" s="2">
        <f>N(correct_ratio_df__2[[#This Row],[correct_ratio]]=1)</f>
        <v>0</v>
      </c>
      <c r="N23" s="2">
        <f>correct_ratio_df__2[[#This Row],[calc available]]-correct_ratio_df__2[[#This Row],[clac stable]]</f>
        <v>0</v>
      </c>
    </row>
    <row r="24" spans="1:14" x14ac:dyDescent="0.2">
      <c r="A24">
        <v>22</v>
      </c>
      <c r="B24" s="2" t="s">
        <v>63</v>
      </c>
      <c r="C24" s="2" t="s">
        <v>9</v>
      </c>
      <c r="D24" s="2" t="s">
        <v>20</v>
      </c>
      <c r="E24" s="2" t="s">
        <v>15</v>
      </c>
      <c r="F24" s="2" t="s">
        <v>12</v>
      </c>
      <c r="G24">
        <v>0</v>
      </c>
      <c r="H24" s="2" t="s">
        <v>13</v>
      </c>
      <c r="I24" s="2" t="s">
        <v>85</v>
      </c>
      <c r="L24" s="2">
        <f>N(correct_ratio_df__2[[#This Row],[correct_ratio]]&gt;0)</f>
        <v>0</v>
      </c>
      <c r="M24" s="2">
        <f>N(correct_ratio_df__2[[#This Row],[correct_ratio]]=1)</f>
        <v>0</v>
      </c>
      <c r="N24" s="2">
        <f>correct_ratio_df__2[[#This Row],[calc available]]-correct_ratio_df__2[[#This Row],[clac stable]]</f>
        <v>0</v>
      </c>
    </row>
    <row r="25" spans="1:14" x14ac:dyDescent="0.2">
      <c r="A25">
        <v>23</v>
      </c>
      <c r="B25" s="2" t="s">
        <v>64</v>
      </c>
      <c r="C25" s="2" t="s">
        <v>14</v>
      </c>
      <c r="D25" s="2" t="s">
        <v>17</v>
      </c>
      <c r="E25" s="2" t="s">
        <v>11</v>
      </c>
      <c r="F25" s="2" t="s">
        <v>12</v>
      </c>
      <c r="G25">
        <v>1</v>
      </c>
      <c r="H25" s="2" t="s">
        <v>13</v>
      </c>
      <c r="I25" s="2" t="s">
        <v>85</v>
      </c>
      <c r="L25" s="2">
        <f>N(correct_ratio_df__2[[#This Row],[correct_ratio]]&gt;0)</f>
        <v>1</v>
      </c>
      <c r="M25" s="2">
        <f>N(correct_ratio_df__2[[#This Row],[correct_ratio]]=1)</f>
        <v>1</v>
      </c>
      <c r="N25" s="2">
        <f>correct_ratio_df__2[[#This Row],[calc available]]-correct_ratio_df__2[[#This Row],[clac stable]]</f>
        <v>0</v>
      </c>
    </row>
    <row r="26" spans="1:14" x14ac:dyDescent="0.2">
      <c r="A26">
        <v>24</v>
      </c>
      <c r="B26" s="2" t="s">
        <v>65</v>
      </c>
      <c r="C26" s="2" t="s">
        <v>19</v>
      </c>
      <c r="D26" s="2" t="s">
        <v>18</v>
      </c>
      <c r="E26" s="2" t="s">
        <v>21</v>
      </c>
      <c r="F26" s="2" t="s">
        <v>12</v>
      </c>
      <c r="G26">
        <v>1</v>
      </c>
      <c r="H26" s="2" t="s">
        <v>13</v>
      </c>
      <c r="I26" s="2" t="s">
        <v>85</v>
      </c>
      <c r="L26" s="2">
        <f>N(correct_ratio_df__2[[#This Row],[correct_ratio]]&gt;0)</f>
        <v>1</v>
      </c>
      <c r="M26" s="2">
        <f>N(correct_ratio_df__2[[#This Row],[correct_ratio]]=1)</f>
        <v>1</v>
      </c>
      <c r="N26" s="2">
        <f>correct_ratio_df__2[[#This Row],[calc available]]-correct_ratio_df__2[[#This Row],[clac stable]]</f>
        <v>0</v>
      </c>
    </row>
    <row r="27" spans="1:14" x14ac:dyDescent="0.2">
      <c r="A27">
        <v>25</v>
      </c>
      <c r="B27" s="2" t="s">
        <v>66</v>
      </c>
      <c r="C27" s="2" t="s">
        <v>14</v>
      </c>
      <c r="D27" s="2" t="s">
        <v>18</v>
      </c>
      <c r="E27" s="2" t="s">
        <v>15</v>
      </c>
      <c r="F27" s="2" t="s">
        <v>12</v>
      </c>
      <c r="G27">
        <v>1</v>
      </c>
      <c r="H27" s="2" t="s">
        <v>13</v>
      </c>
      <c r="I27" s="2" t="s">
        <v>85</v>
      </c>
      <c r="L27" s="2">
        <f>N(correct_ratio_df__2[[#This Row],[correct_ratio]]&gt;0)</f>
        <v>1</v>
      </c>
      <c r="M27" s="2">
        <f>N(correct_ratio_df__2[[#This Row],[correct_ratio]]=1)</f>
        <v>1</v>
      </c>
      <c r="N27" s="2">
        <f>correct_ratio_df__2[[#This Row],[calc available]]-correct_ratio_df__2[[#This Row],[clac stable]]</f>
        <v>0</v>
      </c>
    </row>
    <row r="28" spans="1:14" x14ac:dyDescent="0.2">
      <c r="A28">
        <v>26</v>
      </c>
      <c r="B28" s="2" t="s">
        <v>67</v>
      </c>
      <c r="C28" s="2" t="s">
        <v>9</v>
      </c>
      <c r="D28" s="2" t="s">
        <v>17</v>
      </c>
      <c r="E28" s="2" t="s">
        <v>21</v>
      </c>
      <c r="F28" s="2" t="s">
        <v>12</v>
      </c>
      <c r="G28">
        <v>1</v>
      </c>
      <c r="H28" s="2" t="s">
        <v>13</v>
      </c>
      <c r="I28" s="2" t="s">
        <v>85</v>
      </c>
      <c r="L28" s="2">
        <f>N(correct_ratio_df__2[[#This Row],[correct_ratio]]&gt;0)</f>
        <v>1</v>
      </c>
      <c r="M28" s="2">
        <f>N(correct_ratio_df__2[[#This Row],[correct_ratio]]=1)</f>
        <v>1</v>
      </c>
      <c r="N28" s="2">
        <f>correct_ratio_df__2[[#This Row],[calc available]]-correct_ratio_df__2[[#This Row],[clac stable]]</f>
        <v>0</v>
      </c>
    </row>
    <row r="29" spans="1:14" x14ac:dyDescent="0.2">
      <c r="A29">
        <v>27</v>
      </c>
      <c r="B29" s="2" t="s">
        <v>68</v>
      </c>
      <c r="C29" s="2" t="s">
        <v>14</v>
      </c>
      <c r="D29" s="2" t="s">
        <v>17</v>
      </c>
      <c r="E29" s="2" t="s">
        <v>15</v>
      </c>
      <c r="F29" s="2" t="s">
        <v>12</v>
      </c>
      <c r="G29">
        <v>1</v>
      </c>
      <c r="H29" s="2" t="s">
        <v>13</v>
      </c>
      <c r="I29" s="2" t="s">
        <v>85</v>
      </c>
      <c r="L29" s="2">
        <f>N(correct_ratio_df__2[[#This Row],[correct_ratio]]&gt;0)</f>
        <v>1</v>
      </c>
      <c r="M29" s="2">
        <f>N(correct_ratio_df__2[[#This Row],[correct_ratio]]=1)</f>
        <v>1</v>
      </c>
      <c r="N29" s="2">
        <f>correct_ratio_df__2[[#This Row],[calc available]]-correct_ratio_df__2[[#This Row],[clac stable]]</f>
        <v>0</v>
      </c>
    </row>
    <row r="30" spans="1:14" x14ac:dyDescent="0.2">
      <c r="A30">
        <v>28</v>
      </c>
      <c r="B30" s="2" t="s">
        <v>69</v>
      </c>
      <c r="C30" s="2" t="s">
        <v>22</v>
      </c>
      <c r="D30" s="2" t="s">
        <v>17</v>
      </c>
      <c r="E30" s="2" t="s">
        <v>11</v>
      </c>
      <c r="F30" s="2" t="s">
        <v>12</v>
      </c>
      <c r="G30">
        <v>1</v>
      </c>
      <c r="H30" s="2" t="s">
        <v>13</v>
      </c>
      <c r="I30" s="2" t="s">
        <v>85</v>
      </c>
      <c r="L30" s="2">
        <f>N(correct_ratio_df__2[[#This Row],[correct_ratio]]&gt;0)</f>
        <v>1</v>
      </c>
      <c r="M30" s="2">
        <f>N(correct_ratio_df__2[[#This Row],[correct_ratio]]=1)</f>
        <v>1</v>
      </c>
      <c r="N30" s="2">
        <f>correct_ratio_df__2[[#This Row],[calc available]]-correct_ratio_df__2[[#This Row],[clac stable]]</f>
        <v>0</v>
      </c>
    </row>
    <row r="31" spans="1:14" x14ac:dyDescent="0.2">
      <c r="A31">
        <v>29</v>
      </c>
      <c r="B31" s="2" t="s">
        <v>70</v>
      </c>
      <c r="C31" s="2" t="s">
        <v>9</v>
      </c>
      <c r="D31" s="2" t="s">
        <v>17</v>
      </c>
      <c r="E31" s="2" t="s">
        <v>15</v>
      </c>
      <c r="F31" s="2" t="s">
        <v>12</v>
      </c>
      <c r="G31">
        <v>0.66666666666666663</v>
      </c>
      <c r="H31" s="2" t="s">
        <v>13</v>
      </c>
      <c r="I31" s="2" t="s">
        <v>85</v>
      </c>
      <c r="L31" s="2">
        <f>N(correct_ratio_df__2[[#This Row],[correct_ratio]]&gt;0)</f>
        <v>1</v>
      </c>
      <c r="M31" s="2">
        <f>N(correct_ratio_df__2[[#This Row],[correct_ratio]]=1)</f>
        <v>0</v>
      </c>
      <c r="N31" s="2">
        <f>correct_ratio_df__2[[#This Row],[calc available]]-correct_ratio_df__2[[#This Row],[clac stable]]</f>
        <v>1</v>
      </c>
    </row>
    <row r="32" spans="1:14" x14ac:dyDescent="0.2">
      <c r="A32">
        <v>30</v>
      </c>
      <c r="B32" s="2" t="s">
        <v>71</v>
      </c>
      <c r="C32" s="2" t="s">
        <v>9</v>
      </c>
      <c r="D32" s="2" t="s">
        <v>17</v>
      </c>
      <c r="E32" s="2" t="s">
        <v>21</v>
      </c>
      <c r="F32" s="2" t="s">
        <v>12</v>
      </c>
      <c r="G32">
        <v>0.66666666666666663</v>
      </c>
      <c r="H32" s="2" t="s">
        <v>13</v>
      </c>
      <c r="I32" s="2" t="s">
        <v>85</v>
      </c>
      <c r="L32" s="2">
        <f>N(correct_ratio_df__2[[#This Row],[correct_ratio]]&gt;0)</f>
        <v>1</v>
      </c>
      <c r="M32" s="2">
        <f>N(correct_ratio_df__2[[#This Row],[correct_ratio]]=1)</f>
        <v>0</v>
      </c>
      <c r="N32" s="2">
        <f>correct_ratio_df__2[[#This Row],[calc available]]-correct_ratio_df__2[[#This Row],[clac stable]]</f>
        <v>1</v>
      </c>
    </row>
    <row r="33" spans="1:14" x14ac:dyDescent="0.2">
      <c r="A33">
        <v>31</v>
      </c>
      <c r="B33" s="2" t="s">
        <v>72</v>
      </c>
      <c r="C33" s="2" t="s">
        <v>19</v>
      </c>
      <c r="D33" s="2" t="s">
        <v>17</v>
      </c>
      <c r="E33" s="2" t="s">
        <v>11</v>
      </c>
      <c r="F33" s="2" t="s">
        <v>12</v>
      </c>
      <c r="G33">
        <v>1</v>
      </c>
      <c r="H33" s="2" t="s">
        <v>13</v>
      </c>
      <c r="I33" s="2" t="s">
        <v>85</v>
      </c>
      <c r="L33" s="2">
        <f>N(correct_ratio_df__2[[#This Row],[correct_ratio]]&gt;0)</f>
        <v>1</v>
      </c>
      <c r="M33" s="2">
        <f>N(correct_ratio_df__2[[#This Row],[correct_ratio]]=1)</f>
        <v>1</v>
      </c>
      <c r="N33" s="2">
        <f>correct_ratio_df__2[[#This Row],[calc available]]-correct_ratio_df__2[[#This Row],[clac stable]]</f>
        <v>0</v>
      </c>
    </row>
    <row r="34" spans="1:14" x14ac:dyDescent="0.2">
      <c r="A34">
        <v>32</v>
      </c>
      <c r="B34" s="2" t="s">
        <v>73</v>
      </c>
      <c r="C34" s="2" t="s">
        <v>16</v>
      </c>
      <c r="D34" s="2" t="s">
        <v>17</v>
      </c>
      <c r="E34" s="2" t="s">
        <v>11</v>
      </c>
      <c r="F34" s="2" t="s">
        <v>12</v>
      </c>
      <c r="G34">
        <v>0.66666666666666663</v>
      </c>
      <c r="H34" s="2" t="s">
        <v>13</v>
      </c>
      <c r="I34" s="2" t="s">
        <v>85</v>
      </c>
      <c r="L34" s="2">
        <f>N(correct_ratio_df__2[[#This Row],[correct_ratio]]&gt;0)</f>
        <v>1</v>
      </c>
      <c r="M34" s="2">
        <f>N(correct_ratio_df__2[[#This Row],[correct_ratio]]=1)</f>
        <v>0</v>
      </c>
      <c r="N34" s="2">
        <f>correct_ratio_df__2[[#This Row],[calc available]]-correct_ratio_df__2[[#This Row],[clac stable]]</f>
        <v>1</v>
      </c>
    </row>
    <row r="35" spans="1:14" x14ac:dyDescent="0.2">
      <c r="A35">
        <v>33</v>
      </c>
      <c r="B35" s="2" t="s">
        <v>74</v>
      </c>
      <c r="C35" s="2" t="s">
        <v>22</v>
      </c>
      <c r="D35" s="2" t="s">
        <v>17</v>
      </c>
      <c r="E35" s="2" t="s">
        <v>21</v>
      </c>
      <c r="F35" s="2" t="s">
        <v>12</v>
      </c>
      <c r="G35">
        <v>0.66666666666666663</v>
      </c>
      <c r="H35" s="2" t="s">
        <v>13</v>
      </c>
      <c r="I35" s="2" t="s">
        <v>85</v>
      </c>
      <c r="L35" s="2">
        <f>N(correct_ratio_df__2[[#This Row],[correct_ratio]]&gt;0)</f>
        <v>1</v>
      </c>
      <c r="M35" s="2">
        <f>N(correct_ratio_df__2[[#This Row],[correct_ratio]]=1)</f>
        <v>0</v>
      </c>
      <c r="N35" s="2">
        <f>correct_ratio_df__2[[#This Row],[calc available]]-correct_ratio_df__2[[#This Row],[clac stable]]</f>
        <v>1</v>
      </c>
    </row>
    <row r="36" spans="1:14" x14ac:dyDescent="0.2">
      <c r="A36">
        <v>34</v>
      </c>
      <c r="B36" s="2" t="s">
        <v>75</v>
      </c>
      <c r="C36" s="2" t="s">
        <v>14</v>
      </c>
      <c r="D36" s="2" t="s">
        <v>17</v>
      </c>
      <c r="E36" s="2" t="s">
        <v>21</v>
      </c>
      <c r="F36" s="2" t="s">
        <v>12</v>
      </c>
      <c r="G36">
        <v>1</v>
      </c>
      <c r="H36" s="2" t="s">
        <v>13</v>
      </c>
      <c r="I36" s="2" t="s">
        <v>85</v>
      </c>
      <c r="L36" s="2">
        <f>N(correct_ratio_df__2[[#This Row],[correct_ratio]]&gt;0)</f>
        <v>1</v>
      </c>
      <c r="M36" s="2">
        <f>N(correct_ratio_df__2[[#This Row],[correct_ratio]]=1)</f>
        <v>1</v>
      </c>
      <c r="N36" s="2">
        <f>correct_ratio_df__2[[#This Row],[calc available]]-correct_ratio_df__2[[#This Row],[clac stable]]</f>
        <v>0</v>
      </c>
    </row>
    <row r="37" spans="1:14" x14ac:dyDescent="0.2">
      <c r="A37">
        <v>35</v>
      </c>
      <c r="B37" s="2" t="s">
        <v>76</v>
      </c>
      <c r="C37" s="2" t="s">
        <v>14</v>
      </c>
      <c r="D37" s="2" t="s">
        <v>10</v>
      </c>
      <c r="E37" s="2" t="s">
        <v>21</v>
      </c>
      <c r="F37" s="2" t="s">
        <v>12</v>
      </c>
      <c r="G37">
        <v>1</v>
      </c>
      <c r="H37" s="2" t="s">
        <v>13</v>
      </c>
      <c r="I37" s="2" t="s">
        <v>85</v>
      </c>
      <c r="L37" s="2">
        <f>N(correct_ratio_df__2[[#This Row],[correct_ratio]]&gt;0)</f>
        <v>1</v>
      </c>
      <c r="M37" s="2">
        <f>N(correct_ratio_df__2[[#This Row],[correct_ratio]]=1)</f>
        <v>1</v>
      </c>
      <c r="N37" s="2">
        <f>correct_ratio_df__2[[#This Row],[calc available]]-correct_ratio_df__2[[#This Row],[clac stable]]</f>
        <v>0</v>
      </c>
    </row>
    <row r="38" spans="1:14" x14ac:dyDescent="0.2">
      <c r="A38">
        <v>36</v>
      </c>
      <c r="B38" s="2" t="s">
        <v>77</v>
      </c>
      <c r="C38" s="2" t="s">
        <v>9</v>
      </c>
      <c r="D38" s="2" t="s">
        <v>17</v>
      </c>
      <c r="E38" s="2" t="s">
        <v>15</v>
      </c>
      <c r="F38" s="2" t="s">
        <v>12</v>
      </c>
      <c r="G38">
        <v>1</v>
      </c>
      <c r="H38" s="2" t="s">
        <v>13</v>
      </c>
      <c r="I38" s="2" t="s">
        <v>85</v>
      </c>
      <c r="L38" s="2">
        <f>N(correct_ratio_df__2[[#This Row],[correct_ratio]]&gt;0)</f>
        <v>1</v>
      </c>
      <c r="M38" s="2">
        <f>N(correct_ratio_df__2[[#This Row],[correct_ratio]]=1)</f>
        <v>1</v>
      </c>
      <c r="N38" s="2">
        <f>correct_ratio_df__2[[#This Row],[calc available]]-correct_ratio_df__2[[#This Row],[clac stable]]</f>
        <v>0</v>
      </c>
    </row>
    <row r="39" spans="1:14" x14ac:dyDescent="0.2">
      <c r="A39">
        <v>37</v>
      </c>
      <c r="B39" s="2" t="s">
        <v>78</v>
      </c>
      <c r="C39" s="2" t="s">
        <v>9</v>
      </c>
      <c r="D39" s="2" t="s">
        <v>17</v>
      </c>
      <c r="E39" s="2" t="s">
        <v>21</v>
      </c>
      <c r="F39" s="2" t="s">
        <v>12</v>
      </c>
      <c r="G39">
        <v>1</v>
      </c>
      <c r="H39" s="2" t="s">
        <v>13</v>
      </c>
      <c r="I39" s="2" t="s">
        <v>85</v>
      </c>
      <c r="L39" s="2">
        <f>N(correct_ratio_df__2[[#This Row],[correct_ratio]]&gt;0)</f>
        <v>1</v>
      </c>
      <c r="M39" s="2">
        <f>N(correct_ratio_df__2[[#This Row],[correct_ratio]]=1)</f>
        <v>1</v>
      </c>
      <c r="N39" s="2">
        <f>correct_ratio_df__2[[#This Row],[calc available]]-correct_ratio_df__2[[#This Row],[clac stable]]</f>
        <v>0</v>
      </c>
    </row>
    <row r="40" spans="1:14" x14ac:dyDescent="0.2">
      <c r="A40">
        <v>38</v>
      </c>
      <c r="B40" s="2" t="s">
        <v>79</v>
      </c>
      <c r="C40" s="2" t="s">
        <v>14</v>
      </c>
      <c r="D40" s="2" t="s">
        <v>17</v>
      </c>
      <c r="E40" s="2" t="s">
        <v>11</v>
      </c>
      <c r="F40" s="2" t="s">
        <v>12</v>
      </c>
      <c r="G40">
        <v>0.33333333333333331</v>
      </c>
      <c r="H40" s="2" t="s">
        <v>13</v>
      </c>
      <c r="I40" s="2" t="s">
        <v>85</v>
      </c>
      <c r="L40" s="2">
        <f>N(correct_ratio_df__2[[#This Row],[correct_ratio]]&gt;0)</f>
        <v>1</v>
      </c>
      <c r="M40" s="2">
        <f>N(correct_ratio_df__2[[#This Row],[correct_ratio]]=1)</f>
        <v>0</v>
      </c>
      <c r="N40" s="2">
        <f>correct_ratio_df__2[[#This Row],[calc available]]-correct_ratio_df__2[[#This Row],[clac stable]]</f>
        <v>1</v>
      </c>
    </row>
    <row r="41" spans="1:14" x14ac:dyDescent="0.2">
      <c r="A41">
        <v>39</v>
      </c>
      <c r="B41" s="2" t="s">
        <v>80</v>
      </c>
      <c r="C41" s="2" t="s">
        <v>22</v>
      </c>
      <c r="D41" s="2" t="s">
        <v>20</v>
      </c>
      <c r="E41" s="2" t="s">
        <v>11</v>
      </c>
      <c r="F41" s="2" t="s">
        <v>12</v>
      </c>
      <c r="G41">
        <v>1</v>
      </c>
      <c r="H41" s="2" t="s">
        <v>13</v>
      </c>
      <c r="I41" s="2" t="s">
        <v>85</v>
      </c>
      <c r="L41" s="2">
        <f>N(correct_ratio_df__2[[#This Row],[correct_ratio]]&gt;0)</f>
        <v>1</v>
      </c>
      <c r="M41" s="2">
        <f>N(correct_ratio_df__2[[#This Row],[correct_ratio]]=1)</f>
        <v>1</v>
      </c>
      <c r="N41" s="2">
        <f>correct_ratio_df__2[[#This Row],[calc available]]-correct_ratio_df__2[[#This Row],[clac stable]]</f>
        <v>0</v>
      </c>
    </row>
    <row r="42" spans="1:14" x14ac:dyDescent="0.2">
      <c r="A42">
        <v>40</v>
      </c>
      <c r="B42" s="2" t="s">
        <v>41</v>
      </c>
      <c r="C42" s="2" t="s">
        <v>9</v>
      </c>
      <c r="D42" s="2" t="s">
        <v>10</v>
      </c>
      <c r="E42" s="2" t="s">
        <v>11</v>
      </c>
      <c r="F42" s="2" t="s">
        <v>23</v>
      </c>
      <c r="G42">
        <v>1</v>
      </c>
      <c r="H42" s="2" t="s">
        <v>24</v>
      </c>
      <c r="I42" s="2" t="s">
        <v>86</v>
      </c>
      <c r="L42" s="2">
        <f>N(correct_ratio_df__2[[#This Row],[correct_ratio]]&gt;0)</f>
        <v>1</v>
      </c>
      <c r="M42" s="2">
        <f>N(correct_ratio_df__2[[#This Row],[correct_ratio]]=1)</f>
        <v>1</v>
      </c>
      <c r="N42" s="2">
        <f>correct_ratio_df__2[[#This Row],[calc available]]-correct_ratio_df__2[[#This Row],[clac stable]]</f>
        <v>0</v>
      </c>
    </row>
    <row r="43" spans="1:14" x14ac:dyDescent="0.2">
      <c r="A43">
        <v>41</v>
      </c>
      <c r="B43" s="2" t="s">
        <v>42</v>
      </c>
      <c r="C43" s="2" t="s">
        <v>14</v>
      </c>
      <c r="D43" s="2" t="s">
        <v>10</v>
      </c>
      <c r="E43" s="2" t="s">
        <v>15</v>
      </c>
      <c r="F43" s="2" t="s">
        <v>23</v>
      </c>
      <c r="G43">
        <v>1</v>
      </c>
      <c r="H43" s="2" t="s">
        <v>24</v>
      </c>
      <c r="I43" s="2" t="s">
        <v>86</v>
      </c>
      <c r="L43" s="2">
        <f>N(correct_ratio_df__2[[#This Row],[correct_ratio]]&gt;0)</f>
        <v>1</v>
      </c>
      <c r="M43" s="2">
        <f>N(correct_ratio_df__2[[#This Row],[correct_ratio]]=1)</f>
        <v>1</v>
      </c>
      <c r="N43" s="2">
        <f>correct_ratio_df__2[[#This Row],[calc available]]-correct_ratio_df__2[[#This Row],[clac stable]]</f>
        <v>0</v>
      </c>
    </row>
    <row r="44" spans="1:14" x14ac:dyDescent="0.2">
      <c r="A44">
        <v>42</v>
      </c>
      <c r="B44" s="2" t="s">
        <v>43</v>
      </c>
      <c r="C44" s="2" t="s">
        <v>16</v>
      </c>
      <c r="D44" s="2" t="s">
        <v>17</v>
      </c>
      <c r="E44" s="2" t="s">
        <v>11</v>
      </c>
      <c r="F44" s="2" t="s">
        <v>23</v>
      </c>
      <c r="G44">
        <v>1</v>
      </c>
      <c r="H44" s="2" t="s">
        <v>24</v>
      </c>
      <c r="I44" s="2" t="s">
        <v>86</v>
      </c>
      <c r="L44" s="2">
        <f>N(correct_ratio_df__2[[#This Row],[correct_ratio]]&gt;0)</f>
        <v>1</v>
      </c>
      <c r="M44" s="2">
        <f>N(correct_ratio_df__2[[#This Row],[correct_ratio]]=1)</f>
        <v>1</v>
      </c>
      <c r="N44" s="2">
        <f>correct_ratio_df__2[[#This Row],[calc available]]-correct_ratio_df__2[[#This Row],[clac stable]]</f>
        <v>0</v>
      </c>
    </row>
    <row r="45" spans="1:14" x14ac:dyDescent="0.2">
      <c r="A45">
        <v>43</v>
      </c>
      <c r="B45" s="2" t="s">
        <v>44</v>
      </c>
      <c r="C45" s="2" t="s">
        <v>16</v>
      </c>
      <c r="D45" s="2" t="s">
        <v>10</v>
      </c>
      <c r="E45" s="2" t="s">
        <v>15</v>
      </c>
      <c r="F45" s="2" t="s">
        <v>23</v>
      </c>
      <c r="G45">
        <v>1</v>
      </c>
      <c r="H45" s="2" t="s">
        <v>24</v>
      </c>
      <c r="I45" s="2" t="s">
        <v>86</v>
      </c>
      <c r="L45" s="2">
        <f>N(correct_ratio_df__2[[#This Row],[correct_ratio]]&gt;0)</f>
        <v>1</v>
      </c>
      <c r="M45" s="2">
        <f>N(correct_ratio_df__2[[#This Row],[correct_ratio]]=1)</f>
        <v>1</v>
      </c>
      <c r="N45" s="2">
        <f>correct_ratio_df__2[[#This Row],[calc available]]-correct_ratio_df__2[[#This Row],[clac stable]]</f>
        <v>0</v>
      </c>
    </row>
    <row r="46" spans="1:14" x14ac:dyDescent="0.2">
      <c r="A46">
        <v>44</v>
      </c>
      <c r="B46" s="2" t="s">
        <v>45</v>
      </c>
      <c r="C46" s="2" t="s">
        <v>14</v>
      </c>
      <c r="D46" s="2" t="s">
        <v>18</v>
      </c>
      <c r="E46" s="2" t="s">
        <v>15</v>
      </c>
      <c r="F46" s="2" t="s">
        <v>23</v>
      </c>
      <c r="G46">
        <v>1</v>
      </c>
      <c r="H46" s="2" t="s">
        <v>24</v>
      </c>
      <c r="I46" s="2" t="s">
        <v>86</v>
      </c>
      <c r="L46" s="2">
        <f>N(correct_ratio_df__2[[#This Row],[correct_ratio]]&gt;0)</f>
        <v>1</v>
      </c>
      <c r="M46" s="2">
        <f>N(correct_ratio_df__2[[#This Row],[correct_ratio]]=1)</f>
        <v>1</v>
      </c>
      <c r="N46" s="2">
        <f>correct_ratio_df__2[[#This Row],[calc available]]-correct_ratio_df__2[[#This Row],[clac stable]]</f>
        <v>0</v>
      </c>
    </row>
    <row r="47" spans="1:14" x14ac:dyDescent="0.2">
      <c r="A47">
        <v>45</v>
      </c>
      <c r="B47" s="2" t="s">
        <v>46</v>
      </c>
      <c r="C47" s="2" t="s">
        <v>14</v>
      </c>
      <c r="D47" s="2" t="s">
        <v>10</v>
      </c>
      <c r="E47" s="2" t="s">
        <v>15</v>
      </c>
      <c r="F47" s="2" t="s">
        <v>23</v>
      </c>
      <c r="G47">
        <v>1</v>
      </c>
      <c r="H47" s="2" t="s">
        <v>24</v>
      </c>
      <c r="I47" s="2" t="s">
        <v>86</v>
      </c>
      <c r="L47" s="2">
        <f>N(correct_ratio_df__2[[#This Row],[correct_ratio]]&gt;0)</f>
        <v>1</v>
      </c>
      <c r="M47" s="2">
        <f>N(correct_ratio_df__2[[#This Row],[correct_ratio]]=1)</f>
        <v>1</v>
      </c>
      <c r="N47" s="2">
        <f>correct_ratio_df__2[[#This Row],[calc available]]-correct_ratio_df__2[[#This Row],[clac stable]]</f>
        <v>0</v>
      </c>
    </row>
    <row r="48" spans="1:14" x14ac:dyDescent="0.2">
      <c r="A48">
        <v>46</v>
      </c>
      <c r="B48" s="2" t="s">
        <v>47</v>
      </c>
      <c r="C48" s="2" t="s">
        <v>19</v>
      </c>
      <c r="D48" s="2" t="s">
        <v>10</v>
      </c>
      <c r="E48" s="2" t="s">
        <v>15</v>
      </c>
      <c r="F48" s="2" t="s">
        <v>23</v>
      </c>
      <c r="G48">
        <v>1</v>
      </c>
      <c r="H48" s="2" t="s">
        <v>24</v>
      </c>
      <c r="I48" s="2" t="s">
        <v>86</v>
      </c>
      <c r="L48" s="2">
        <f>N(correct_ratio_df__2[[#This Row],[correct_ratio]]&gt;0)</f>
        <v>1</v>
      </c>
      <c r="M48" s="2">
        <f>N(correct_ratio_df__2[[#This Row],[correct_ratio]]=1)</f>
        <v>1</v>
      </c>
      <c r="N48" s="2">
        <f>correct_ratio_df__2[[#This Row],[calc available]]-correct_ratio_df__2[[#This Row],[clac stable]]</f>
        <v>0</v>
      </c>
    </row>
    <row r="49" spans="1:14" x14ac:dyDescent="0.2">
      <c r="A49">
        <v>47</v>
      </c>
      <c r="B49" s="2" t="s">
        <v>48</v>
      </c>
      <c r="C49" s="2" t="s">
        <v>16</v>
      </c>
      <c r="D49" s="2" t="s">
        <v>20</v>
      </c>
      <c r="E49" s="2" t="s">
        <v>21</v>
      </c>
      <c r="F49" s="2" t="s">
        <v>23</v>
      </c>
      <c r="G49">
        <v>1</v>
      </c>
      <c r="H49" s="2" t="s">
        <v>24</v>
      </c>
      <c r="I49" s="2" t="s">
        <v>86</v>
      </c>
      <c r="L49" s="2">
        <f>N(correct_ratio_df__2[[#This Row],[correct_ratio]]&gt;0)</f>
        <v>1</v>
      </c>
      <c r="M49" s="2">
        <f>N(correct_ratio_df__2[[#This Row],[correct_ratio]]=1)</f>
        <v>1</v>
      </c>
      <c r="N49" s="2">
        <f>correct_ratio_df__2[[#This Row],[calc available]]-correct_ratio_df__2[[#This Row],[clac stable]]</f>
        <v>0</v>
      </c>
    </row>
    <row r="50" spans="1:14" x14ac:dyDescent="0.2">
      <c r="A50">
        <v>48</v>
      </c>
      <c r="B50" s="2" t="s">
        <v>49</v>
      </c>
      <c r="C50" s="2" t="s">
        <v>16</v>
      </c>
      <c r="D50" s="2" t="s">
        <v>10</v>
      </c>
      <c r="E50" s="2" t="s">
        <v>21</v>
      </c>
      <c r="F50" s="2" t="s">
        <v>23</v>
      </c>
      <c r="G50">
        <v>1</v>
      </c>
      <c r="H50" s="2" t="s">
        <v>24</v>
      </c>
      <c r="I50" s="2" t="s">
        <v>86</v>
      </c>
      <c r="L50" s="2">
        <f>N(correct_ratio_df__2[[#This Row],[correct_ratio]]&gt;0)</f>
        <v>1</v>
      </c>
      <c r="M50" s="2">
        <f>N(correct_ratio_df__2[[#This Row],[correct_ratio]]=1)</f>
        <v>1</v>
      </c>
      <c r="N50" s="2">
        <f>correct_ratio_df__2[[#This Row],[calc available]]-correct_ratio_df__2[[#This Row],[clac stable]]</f>
        <v>0</v>
      </c>
    </row>
    <row r="51" spans="1:14" x14ac:dyDescent="0.2">
      <c r="A51">
        <v>49</v>
      </c>
      <c r="B51" s="2" t="s">
        <v>50</v>
      </c>
      <c r="C51" s="2" t="s">
        <v>9</v>
      </c>
      <c r="D51" s="2" t="s">
        <v>17</v>
      </c>
      <c r="E51" s="2" t="s">
        <v>21</v>
      </c>
      <c r="F51" s="2" t="s">
        <v>23</v>
      </c>
      <c r="G51">
        <v>0.66666666666666663</v>
      </c>
      <c r="H51" s="2" t="s">
        <v>24</v>
      </c>
      <c r="I51" s="2" t="s">
        <v>86</v>
      </c>
      <c r="L51" s="2">
        <f>N(correct_ratio_df__2[[#This Row],[correct_ratio]]&gt;0)</f>
        <v>1</v>
      </c>
      <c r="M51" s="2">
        <f>N(correct_ratio_df__2[[#This Row],[correct_ratio]]=1)</f>
        <v>0</v>
      </c>
      <c r="N51" s="2">
        <f>correct_ratio_df__2[[#This Row],[calc available]]-correct_ratio_df__2[[#This Row],[clac stable]]</f>
        <v>1</v>
      </c>
    </row>
    <row r="52" spans="1:14" x14ac:dyDescent="0.2">
      <c r="A52">
        <v>50</v>
      </c>
      <c r="B52" s="2" t="s">
        <v>51</v>
      </c>
      <c r="C52" s="2" t="s">
        <v>16</v>
      </c>
      <c r="D52" s="2" t="s">
        <v>17</v>
      </c>
      <c r="E52" s="2" t="s">
        <v>11</v>
      </c>
      <c r="F52" s="2" t="s">
        <v>23</v>
      </c>
      <c r="G52">
        <v>1</v>
      </c>
      <c r="H52" s="2" t="s">
        <v>24</v>
      </c>
      <c r="I52" s="2" t="s">
        <v>86</v>
      </c>
      <c r="L52" s="2">
        <f>N(correct_ratio_df__2[[#This Row],[correct_ratio]]&gt;0)</f>
        <v>1</v>
      </c>
      <c r="M52" s="2">
        <f>N(correct_ratio_df__2[[#This Row],[correct_ratio]]=1)</f>
        <v>1</v>
      </c>
      <c r="N52" s="2">
        <f>correct_ratio_df__2[[#This Row],[calc available]]-correct_ratio_df__2[[#This Row],[clac stable]]</f>
        <v>0</v>
      </c>
    </row>
    <row r="53" spans="1:14" x14ac:dyDescent="0.2">
      <c r="A53">
        <v>51</v>
      </c>
      <c r="B53" s="2" t="s">
        <v>52</v>
      </c>
      <c r="C53" s="2" t="s">
        <v>9</v>
      </c>
      <c r="D53" s="2" t="s">
        <v>17</v>
      </c>
      <c r="E53" s="2" t="s">
        <v>15</v>
      </c>
      <c r="F53" s="2" t="s">
        <v>23</v>
      </c>
      <c r="G53">
        <v>1</v>
      </c>
      <c r="H53" s="2" t="s">
        <v>24</v>
      </c>
      <c r="I53" s="2" t="s">
        <v>86</v>
      </c>
      <c r="L53" s="2">
        <f>N(correct_ratio_df__2[[#This Row],[correct_ratio]]&gt;0)</f>
        <v>1</v>
      </c>
      <c r="M53" s="2">
        <f>N(correct_ratio_df__2[[#This Row],[correct_ratio]]=1)</f>
        <v>1</v>
      </c>
      <c r="N53" s="2">
        <f>correct_ratio_df__2[[#This Row],[calc available]]-correct_ratio_df__2[[#This Row],[clac stable]]</f>
        <v>0</v>
      </c>
    </row>
    <row r="54" spans="1:14" x14ac:dyDescent="0.2">
      <c r="A54">
        <v>52</v>
      </c>
      <c r="B54" s="2" t="s">
        <v>53</v>
      </c>
      <c r="C54" s="2" t="s">
        <v>19</v>
      </c>
      <c r="D54" s="2" t="s">
        <v>17</v>
      </c>
      <c r="E54" s="2" t="s">
        <v>21</v>
      </c>
      <c r="F54" s="2" t="s">
        <v>23</v>
      </c>
      <c r="G54">
        <v>1</v>
      </c>
      <c r="H54" s="2" t="s">
        <v>24</v>
      </c>
      <c r="I54" s="2" t="s">
        <v>86</v>
      </c>
      <c r="L54" s="2">
        <f>N(correct_ratio_df__2[[#This Row],[correct_ratio]]&gt;0)</f>
        <v>1</v>
      </c>
      <c r="M54" s="2">
        <f>N(correct_ratio_df__2[[#This Row],[correct_ratio]]=1)</f>
        <v>1</v>
      </c>
      <c r="N54" s="2">
        <f>correct_ratio_df__2[[#This Row],[calc available]]-correct_ratio_df__2[[#This Row],[clac stable]]</f>
        <v>0</v>
      </c>
    </row>
    <row r="55" spans="1:14" x14ac:dyDescent="0.2">
      <c r="A55">
        <v>53</v>
      </c>
      <c r="B55" s="2" t="s">
        <v>54</v>
      </c>
      <c r="C55" s="2" t="s">
        <v>14</v>
      </c>
      <c r="D55" s="2" t="s">
        <v>17</v>
      </c>
      <c r="E55" s="2" t="s">
        <v>15</v>
      </c>
      <c r="F55" s="2" t="s">
        <v>23</v>
      </c>
      <c r="G55">
        <v>1</v>
      </c>
      <c r="H55" s="2" t="s">
        <v>24</v>
      </c>
      <c r="I55" s="2" t="s">
        <v>86</v>
      </c>
      <c r="L55" s="2">
        <f>N(correct_ratio_df__2[[#This Row],[correct_ratio]]&gt;0)</f>
        <v>1</v>
      </c>
      <c r="M55" s="2">
        <f>N(correct_ratio_df__2[[#This Row],[correct_ratio]]=1)</f>
        <v>1</v>
      </c>
      <c r="N55" s="2">
        <f>correct_ratio_df__2[[#This Row],[calc available]]-correct_ratio_df__2[[#This Row],[clac stable]]</f>
        <v>0</v>
      </c>
    </row>
    <row r="56" spans="1:14" x14ac:dyDescent="0.2">
      <c r="A56">
        <v>54</v>
      </c>
      <c r="B56" s="2" t="s">
        <v>55</v>
      </c>
      <c r="C56" s="2" t="s">
        <v>9</v>
      </c>
      <c r="D56" s="2" t="s">
        <v>18</v>
      </c>
      <c r="E56" s="2" t="s">
        <v>21</v>
      </c>
      <c r="F56" s="2" t="s">
        <v>23</v>
      </c>
      <c r="G56">
        <v>1</v>
      </c>
      <c r="H56" s="2" t="s">
        <v>24</v>
      </c>
      <c r="I56" s="2" t="s">
        <v>86</v>
      </c>
      <c r="L56" s="2">
        <f>N(correct_ratio_df__2[[#This Row],[correct_ratio]]&gt;0)</f>
        <v>1</v>
      </c>
      <c r="M56" s="2">
        <f>N(correct_ratio_df__2[[#This Row],[correct_ratio]]=1)</f>
        <v>1</v>
      </c>
      <c r="N56" s="2">
        <f>correct_ratio_df__2[[#This Row],[calc available]]-correct_ratio_df__2[[#This Row],[clac stable]]</f>
        <v>0</v>
      </c>
    </row>
    <row r="57" spans="1:14" x14ac:dyDescent="0.2">
      <c r="A57">
        <v>55</v>
      </c>
      <c r="B57" s="2" t="s">
        <v>56</v>
      </c>
      <c r="C57" s="2" t="s">
        <v>19</v>
      </c>
      <c r="D57" s="2" t="s">
        <v>17</v>
      </c>
      <c r="E57" s="2" t="s">
        <v>21</v>
      </c>
      <c r="F57" s="2" t="s">
        <v>23</v>
      </c>
      <c r="G57">
        <v>1</v>
      </c>
      <c r="H57" s="2" t="s">
        <v>24</v>
      </c>
      <c r="I57" s="2" t="s">
        <v>86</v>
      </c>
      <c r="L57" s="2">
        <f>N(correct_ratio_df__2[[#This Row],[correct_ratio]]&gt;0)</f>
        <v>1</v>
      </c>
      <c r="M57" s="2">
        <f>N(correct_ratio_df__2[[#This Row],[correct_ratio]]=1)</f>
        <v>1</v>
      </c>
      <c r="N57" s="2">
        <f>correct_ratio_df__2[[#This Row],[calc available]]-correct_ratio_df__2[[#This Row],[clac stable]]</f>
        <v>0</v>
      </c>
    </row>
    <row r="58" spans="1:14" x14ac:dyDescent="0.2">
      <c r="A58">
        <v>56</v>
      </c>
      <c r="B58" s="2" t="s">
        <v>57</v>
      </c>
      <c r="C58" s="2" t="s">
        <v>9</v>
      </c>
      <c r="D58" s="2" t="s">
        <v>17</v>
      </c>
      <c r="E58" s="2" t="s">
        <v>21</v>
      </c>
      <c r="F58" s="2" t="s">
        <v>23</v>
      </c>
      <c r="G58">
        <v>0.66666666666666663</v>
      </c>
      <c r="H58" s="2" t="s">
        <v>24</v>
      </c>
      <c r="I58" s="2" t="s">
        <v>86</v>
      </c>
      <c r="L58" s="2">
        <f>N(correct_ratio_df__2[[#This Row],[correct_ratio]]&gt;0)</f>
        <v>1</v>
      </c>
      <c r="M58" s="2">
        <f>N(correct_ratio_df__2[[#This Row],[correct_ratio]]=1)</f>
        <v>0</v>
      </c>
      <c r="N58" s="2">
        <f>correct_ratio_df__2[[#This Row],[calc available]]-correct_ratio_df__2[[#This Row],[clac stable]]</f>
        <v>1</v>
      </c>
    </row>
    <row r="59" spans="1:14" x14ac:dyDescent="0.2">
      <c r="A59">
        <v>57</v>
      </c>
      <c r="B59" s="2" t="s">
        <v>58</v>
      </c>
      <c r="C59" s="2" t="s">
        <v>9</v>
      </c>
      <c r="D59" s="2" t="s">
        <v>17</v>
      </c>
      <c r="E59" s="2" t="s">
        <v>21</v>
      </c>
      <c r="F59" s="2" t="s">
        <v>23</v>
      </c>
      <c r="G59">
        <v>0</v>
      </c>
      <c r="H59" s="2" t="s">
        <v>24</v>
      </c>
      <c r="I59" s="2" t="s">
        <v>86</v>
      </c>
      <c r="L59" s="2">
        <f>N(correct_ratio_df__2[[#This Row],[correct_ratio]]&gt;0)</f>
        <v>0</v>
      </c>
      <c r="M59" s="2">
        <f>N(correct_ratio_df__2[[#This Row],[correct_ratio]]=1)</f>
        <v>0</v>
      </c>
      <c r="N59" s="2">
        <f>correct_ratio_df__2[[#This Row],[calc available]]-correct_ratio_df__2[[#This Row],[clac stable]]</f>
        <v>0</v>
      </c>
    </row>
    <row r="60" spans="1:14" x14ac:dyDescent="0.2">
      <c r="A60">
        <v>58</v>
      </c>
      <c r="B60" s="2" t="s">
        <v>59</v>
      </c>
      <c r="C60" s="2" t="s">
        <v>19</v>
      </c>
      <c r="D60" s="2" t="s">
        <v>17</v>
      </c>
      <c r="E60" s="2" t="s">
        <v>15</v>
      </c>
      <c r="F60" s="2" t="s">
        <v>23</v>
      </c>
      <c r="G60">
        <v>1</v>
      </c>
      <c r="H60" s="2" t="s">
        <v>24</v>
      </c>
      <c r="I60" s="2" t="s">
        <v>86</v>
      </c>
      <c r="L60" s="2">
        <f>N(correct_ratio_df__2[[#This Row],[correct_ratio]]&gt;0)</f>
        <v>1</v>
      </c>
      <c r="M60" s="2">
        <f>N(correct_ratio_df__2[[#This Row],[correct_ratio]]=1)</f>
        <v>1</v>
      </c>
      <c r="N60" s="2">
        <f>correct_ratio_df__2[[#This Row],[calc available]]-correct_ratio_df__2[[#This Row],[clac stable]]</f>
        <v>0</v>
      </c>
    </row>
    <row r="61" spans="1:14" x14ac:dyDescent="0.2">
      <c r="A61">
        <v>59</v>
      </c>
      <c r="B61" s="2" t="s">
        <v>60</v>
      </c>
      <c r="C61" s="2" t="s">
        <v>9</v>
      </c>
      <c r="D61" s="2" t="s">
        <v>17</v>
      </c>
      <c r="E61" s="2" t="s">
        <v>21</v>
      </c>
      <c r="F61" s="2" t="s">
        <v>23</v>
      </c>
      <c r="G61">
        <v>1</v>
      </c>
      <c r="H61" s="2" t="s">
        <v>24</v>
      </c>
      <c r="I61" s="2" t="s">
        <v>86</v>
      </c>
      <c r="L61" s="2">
        <f>N(correct_ratio_df__2[[#This Row],[correct_ratio]]&gt;0)</f>
        <v>1</v>
      </c>
      <c r="M61" s="2">
        <f>N(correct_ratio_df__2[[#This Row],[correct_ratio]]=1)</f>
        <v>1</v>
      </c>
      <c r="N61" s="2">
        <f>correct_ratio_df__2[[#This Row],[calc available]]-correct_ratio_df__2[[#This Row],[clac stable]]</f>
        <v>0</v>
      </c>
    </row>
    <row r="62" spans="1:14" x14ac:dyDescent="0.2">
      <c r="A62">
        <v>60</v>
      </c>
      <c r="B62" s="2" t="s">
        <v>61</v>
      </c>
      <c r="C62" s="2" t="s">
        <v>14</v>
      </c>
      <c r="D62" s="2" t="s">
        <v>10</v>
      </c>
      <c r="E62" s="2" t="s">
        <v>11</v>
      </c>
      <c r="F62" s="2" t="s">
        <v>23</v>
      </c>
      <c r="G62">
        <v>1</v>
      </c>
      <c r="H62" s="2" t="s">
        <v>24</v>
      </c>
      <c r="I62" s="2" t="s">
        <v>86</v>
      </c>
      <c r="L62" s="2">
        <f>N(correct_ratio_df__2[[#This Row],[correct_ratio]]&gt;0)</f>
        <v>1</v>
      </c>
      <c r="M62" s="2">
        <f>N(correct_ratio_df__2[[#This Row],[correct_ratio]]=1)</f>
        <v>1</v>
      </c>
      <c r="N62" s="2">
        <f>correct_ratio_df__2[[#This Row],[calc available]]-correct_ratio_df__2[[#This Row],[clac stable]]</f>
        <v>0</v>
      </c>
    </row>
    <row r="63" spans="1:14" x14ac:dyDescent="0.2">
      <c r="A63">
        <v>61</v>
      </c>
      <c r="B63" s="2" t="s">
        <v>62</v>
      </c>
      <c r="C63" s="2" t="s">
        <v>16</v>
      </c>
      <c r="D63" s="2" t="s">
        <v>18</v>
      </c>
      <c r="E63" s="2" t="s">
        <v>11</v>
      </c>
      <c r="F63" s="2" t="s">
        <v>23</v>
      </c>
      <c r="G63">
        <v>1</v>
      </c>
      <c r="H63" s="2" t="s">
        <v>24</v>
      </c>
      <c r="I63" s="2" t="s">
        <v>86</v>
      </c>
      <c r="L63" s="2">
        <f>N(correct_ratio_df__2[[#This Row],[correct_ratio]]&gt;0)</f>
        <v>1</v>
      </c>
      <c r="M63" s="2">
        <f>N(correct_ratio_df__2[[#This Row],[correct_ratio]]=1)</f>
        <v>1</v>
      </c>
      <c r="N63" s="2">
        <f>correct_ratio_df__2[[#This Row],[calc available]]-correct_ratio_df__2[[#This Row],[clac stable]]</f>
        <v>0</v>
      </c>
    </row>
    <row r="64" spans="1:14" x14ac:dyDescent="0.2">
      <c r="A64">
        <v>62</v>
      </c>
      <c r="B64" s="2" t="s">
        <v>63</v>
      </c>
      <c r="C64" s="2" t="s">
        <v>9</v>
      </c>
      <c r="D64" s="2" t="s">
        <v>20</v>
      </c>
      <c r="E64" s="2" t="s">
        <v>15</v>
      </c>
      <c r="F64" s="2" t="s">
        <v>23</v>
      </c>
      <c r="G64">
        <v>1</v>
      </c>
      <c r="H64" s="2" t="s">
        <v>24</v>
      </c>
      <c r="I64" s="2" t="s">
        <v>86</v>
      </c>
      <c r="L64" s="2">
        <f>N(correct_ratio_df__2[[#This Row],[correct_ratio]]&gt;0)</f>
        <v>1</v>
      </c>
      <c r="M64" s="2">
        <f>N(correct_ratio_df__2[[#This Row],[correct_ratio]]=1)</f>
        <v>1</v>
      </c>
      <c r="N64" s="2">
        <f>correct_ratio_df__2[[#This Row],[calc available]]-correct_ratio_df__2[[#This Row],[clac stable]]</f>
        <v>0</v>
      </c>
    </row>
    <row r="65" spans="1:14" x14ac:dyDescent="0.2">
      <c r="A65">
        <v>63</v>
      </c>
      <c r="B65" s="2" t="s">
        <v>64</v>
      </c>
      <c r="C65" s="2" t="s">
        <v>14</v>
      </c>
      <c r="D65" s="2" t="s">
        <v>17</v>
      </c>
      <c r="E65" s="2" t="s">
        <v>11</v>
      </c>
      <c r="F65" s="2" t="s">
        <v>23</v>
      </c>
      <c r="G65">
        <v>1</v>
      </c>
      <c r="H65" s="2" t="s">
        <v>24</v>
      </c>
      <c r="I65" s="2" t="s">
        <v>86</v>
      </c>
      <c r="L65" s="2">
        <f>N(correct_ratio_df__2[[#This Row],[correct_ratio]]&gt;0)</f>
        <v>1</v>
      </c>
      <c r="M65" s="2">
        <f>N(correct_ratio_df__2[[#This Row],[correct_ratio]]=1)</f>
        <v>1</v>
      </c>
      <c r="N65" s="2">
        <f>correct_ratio_df__2[[#This Row],[calc available]]-correct_ratio_df__2[[#This Row],[clac stable]]</f>
        <v>0</v>
      </c>
    </row>
    <row r="66" spans="1:14" x14ac:dyDescent="0.2">
      <c r="A66">
        <v>64</v>
      </c>
      <c r="B66" s="2" t="s">
        <v>65</v>
      </c>
      <c r="C66" s="2" t="s">
        <v>19</v>
      </c>
      <c r="D66" s="2" t="s">
        <v>18</v>
      </c>
      <c r="E66" s="2" t="s">
        <v>21</v>
      </c>
      <c r="F66" s="2" t="s">
        <v>23</v>
      </c>
      <c r="G66">
        <v>1</v>
      </c>
      <c r="H66" s="2" t="s">
        <v>24</v>
      </c>
      <c r="I66" s="2" t="s">
        <v>86</v>
      </c>
      <c r="L66" s="2">
        <f>N(correct_ratio_df__2[[#This Row],[correct_ratio]]&gt;0)</f>
        <v>1</v>
      </c>
      <c r="M66" s="2">
        <f>N(correct_ratio_df__2[[#This Row],[correct_ratio]]=1)</f>
        <v>1</v>
      </c>
      <c r="N66" s="2">
        <f>correct_ratio_df__2[[#This Row],[calc available]]-correct_ratio_df__2[[#This Row],[clac stable]]</f>
        <v>0</v>
      </c>
    </row>
    <row r="67" spans="1:14" x14ac:dyDescent="0.2">
      <c r="A67">
        <v>65</v>
      </c>
      <c r="B67" s="2" t="s">
        <v>66</v>
      </c>
      <c r="C67" s="2" t="s">
        <v>14</v>
      </c>
      <c r="D67" s="2" t="s">
        <v>18</v>
      </c>
      <c r="E67" s="2" t="s">
        <v>15</v>
      </c>
      <c r="F67" s="2" t="s">
        <v>23</v>
      </c>
      <c r="G67">
        <v>1</v>
      </c>
      <c r="H67" s="2" t="s">
        <v>24</v>
      </c>
      <c r="I67" s="2" t="s">
        <v>86</v>
      </c>
      <c r="L67" s="2">
        <f>N(correct_ratio_df__2[[#This Row],[correct_ratio]]&gt;0)</f>
        <v>1</v>
      </c>
      <c r="M67" s="2">
        <f>N(correct_ratio_df__2[[#This Row],[correct_ratio]]=1)</f>
        <v>1</v>
      </c>
      <c r="N67" s="2">
        <f>correct_ratio_df__2[[#This Row],[calc available]]-correct_ratio_df__2[[#This Row],[clac stable]]</f>
        <v>0</v>
      </c>
    </row>
    <row r="68" spans="1:14" x14ac:dyDescent="0.2">
      <c r="A68">
        <v>66</v>
      </c>
      <c r="B68" s="2" t="s">
        <v>67</v>
      </c>
      <c r="C68" s="2" t="s">
        <v>9</v>
      </c>
      <c r="D68" s="2" t="s">
        <v>17</v>
      </c>
      <c r="E68" s="2" t="s">
        <v>21</v>
      </c>
      <c r="F68" s="2" t="s">
        <v>23</v>
      </c>
      <c r="G68">
        <v>1</v>
      </c>
      <c r="H68" s="2" t="s">
        <v>24</v>
      </c>
      <c r="I68" s="2" t="s">
        <v>86</v>
      </c>
      <c r="L68" s="2">
        <f>N(correct_ratio_df__2[[#This Row],[correct_ratio]]&gt;0)</f>
        <v>1</v>
      </c>
      <c r="M68" s="2">
        <f>N(correct_ratio_df__2[[#This Row],[correct_ratio]]=1)</f>
        <v>1</v>
      </c>
      <c r="N68" s="2">
        <f>correct_ratio_df__2[[#This Row],[calc available]]-correct_ratio_df__2[[#This Row],[clac stable]]</f>
        <v>0</v>
      </c>
    </row>
    <row r="69" spans="1:14" x14ac:dyDescent="0.2">
      <c r="A69">
        <v>67</v>
      </c>
      <c r="B69" s="2" t="s">
        <v>68</v>
      </c>
      <c r="C69" s="2" t="s">
        <v>14</v>
      </c>
      <c r="D69" s="2" t="s">
        <v>17</v>
      </c>
      <c r="E69" s="2" t="s">
        <v>15</v>
      </c>
      <c r="F69" s="2" t="s">
        <v>23</v>
      </c>
      <c r="G69">
        <v>1</v>
      </c>
      <c r="H69" s="2" t="s">
        <v>24</v>
      </c>
      <c r="I69" s="2" t="s">
        <v>86</v>
      </c>
      <c r="L69" s="2">
        <f>N(correct_ratio_df__2[[#This Row],[correct_ratio]]&gt;0)</f>
        <v>1</v>
      </c>
      <c r="M69" s="2">
        <f>N(correct_ratio_df__2[[#This Row],[correct_ratio]]=1)</f>
        <v>1</v>
      </c>
      <c r="N69" s="2">
        <f>correct_ratio_df__2[[#This Row],[calc available]]-correct_ratio_df__2[[#This Row],[clac stable]]</f>
        <v>0</v>
      </c>
    </row>
    <row r="70" spans="1:14" x14ac:dyDescent="0.2">
      <c r="A70">
        <v>68</v>
      </c>
      <c r="B70" s="2" t="s">
        <v>69</v>
      </c>
      <c r="C70" s="2" t="s">
        <v>22</v>
      </c>
      <c r="D70" s="2" t="s">
        <v>17</v>
      </c>
      <c r="E70" s="2" t="s">
        <v>11</v>
      </c>
      <c r="F70" s="2" t="s">
        <v>23</v>
      </c>
      <c r="G70">
        <v>1</v>
      </c>
      <c r="H70" s="2" t="s">
        <v>24</v>
      </c>
      <c r="I70" s="2" t="s">
        <v>86</v>
      </c>
      <c r="L70" s="2">
        <f>N(correct_ratio_df__2[[#This Row],[correct_ratio]]&gt;0)</f>
        <v>1</v>
      </c>
      <c r="M70" s="2">
        <f>N(correct_ratio_df__2[[#This Row],[correct_ratio]]=1)</f>
        <v>1</v>
      </c>
      <c r="N70" s="2">
        <f>correct_ratio_df__2[[#This Row],[calc available]]-correct_ratio_df__2[[#This Row],[clac stable]]</f>
        <v>0</v>
      </c>
    </row>
    <row r="71" spans="1:14" x14ac:dyDescent="0.2">
      <c r="A71">
        <v>69</v>
      </c>
      <c r="B71" s="2" t="s">
        <v>70</v>
      </c>
      <c r="C71" s="2" t="s">
        <v>9</v>
      </c>
      <c r="D71" s="2" t="s">
        <v>17</v>
      </c>
      <c r="E71" s="2" t="s">
        <v>15</v>
      </c>
      <c r="F71" s="2" t="s">
        <v>23</v>
      </c>
      <c r="G71">
        <v>1</v>
      </c>
      <c r="H71" s="2" t="s">
        <v>24</v>
      </c>
      <c r="I71" s="2" t="s">
        <v>86</v>
      </c>
      <c r="L71" s="2">
        <f>N(correct_ratio_df__2[[#This Row],[correct_ratio]]&gt;0)</f>
        <v>1</v>
      </c>
      <c r="M71" s="2">
        <f>N(correct_ratio_df__2[[#This Row],[correct_ratio]]=1)</f>
        <v>1</v>
      </c>
      <c r="N71" s="2">
        <f>correct_ratio_df__2[[#This Row],[calc available]]-correct_ratio_df__2[[#This Row],[clac stable]]</f>
        <v>0</v>
      </c>
    </row>
    <row r="72" spans="1:14" x14ac:dyDescent="0.2">
      <c r="A72">
        <v>70</v>
      </c>
      <c r="B72" s="2" t="s">
        <v>71</v>
      </c>
      <c r="C72" s="2" t="s">
        <v>9</v>
      </c>
      <c r="D72" s="2" t="s">
        <v>17</v>
      </c>
      <c r="E72" s="2" t="s">
        <v>21</v>
      </c>
      <c r="F72" s="2" t="s">
        <v>23</v>
      </c>
      <c r="G72">
        <v>0.66666666666666663</v>
      </c>
      <c r="H72" s="2" t="s">
        <v>24</v>
      </c>
      <c r="I72" s="2" t="s">
        <v>86</v>
      </c>
      <c r="L72" s="2">
        <f>N(correct_ratio_df__2[[#This Row],[correct_ratio]]&gt;0)</f>
        <v>1</v>
      </c>
      <c r="M72" s="2">
        <f>N(correct_ratio_df__2[[#This Row],[correct_ratio]]=1)</f>
        <v>0</v>
      </c>
      <c r="N72" s="2">
        <f>correct_ratio_df__2[[#This Row],[calc available]]-correct_ratio_df__2[[#This Row],[clac stable]]</f>
        <v>1</v>
      </c>
    </row>
    <row r="73" spans="1:14" x14ac:dyDescent="0.2">
      <c r="A73">
        <v>71</v>
      </c>
      <c r="B73" s="2" t="s">
        <v>72</v>
      </c>
      <c r="C73" s="2" t="s">
        <v>19</v>
      </c>
      <c r="D73" s="2" t="s">
        <v>17</v>
      </c>
      <c r="E73" s="2" t="s">
        <v>11</v>
      </c>
      <c r="F73" s="2" t="s">
        <v>23</v>
      </c>
      <c r="G73">
        <v>1</v>
      </c>
      <c r="H73" s="2" t="s">
        <v>24</v>
      </c>
      <c r="I73" s="2" t="s">
        <v>86</v>
      </c>
      <c r="L73" s="2">
        <f>N(correct_ratio_df__2[[#This Row],[correct_ratio]]&gt;0)</f>
        <v>1</v>
      </c>
      <c r="M73" s="2">
        <f>N(correct_ratio_df__2[[#This Row],[correct_ratio]]=1)</f>
        <v>1</v>
      </c>
      <c r="N73" s="2">
        <f>correct_ratio_df__2[[#This Row],[calc available]]-correct_ratio_df__2[[#This Row],[clac stable]]</f>
        <v>0</v>
      </c>
    </row>
    <row r="74" spans="1:14" x14ac:dyDescent="0.2">
      <c r="A74">
        <v>72</v>
      </c>
      <c r="B74" s="2" t="s">
        <v>73</v>
      </c>
      <c r="C74" s="2" t="s">
        <v>16</v>
      </c>
      <c r="D74" s="2" t="s">
        <v>17</v>
      </c>
      <c r="E74" s="2" t="s">
        <v>11</v>
      </c>
      <c r="F74" s="2" t="s">
        <v>23</v>
      </c>
      <c r="G74">
        <v>1</v>
      </c>
      <c r="H74" s="2" t="s">
        <v>24</v>
      </c>
      <c r="I74" s="2" t="s">
        <v>86</v>
      </c>
      <c r="L74" s="2">
        <f>N(correct_ratio_df__2[[#This Row],[correct_ratio]]&gt;0)</f>
        <v>1</v>
      </c>
      <c r="M74" s="2">
        <f>N(correct_ratio_df__2[[#This Row],[correct_ratio]]=1)</f>
        <v>1</v>
      </c>
      <c r="N74" s="2">
        <f>correct_ratio_df__2[[#This Row],[calc available]]-correct_ratio_df__2[[#This Row],[clac stable]]</f>
        <v>0</v>
      </c>
    </row>
    <row r="75" spans="1:14" x14ac:dyDescent="0.2">
      <c r="A75">
        <v>73</v>
      </c>
      <c r="B75" s="2" t="s">
        <v>74</v>
      </c>
      <c r="C75" s="2" t="s">
        <v>22</v>
      </c>
      <c r="D75" s="2" t="s">
        <v>17</v>
      </c>
      <c r="E75" s="2" t="s">
        <v>21</v>
      </c>
      <c r="F75" s="2" t="s">
        <v>23</v>
      </c>
      <c r="G75">
        <v>1</v>
      </c>
      <c r="H75" s="2" t="s">
        <v>24</v>
      </c>
      <c r="I75" s="2" t="s">
        <v>86</v>
      </c>
      <c r="L75" s="2">
        <f>N(correct_ratio_df__2[[#This Row],[correct_ratio]]&gt;0)</f>
        <v>1</v>
      </c>
      <c r="M75" s="2">
        <f>N(correct_ratio_df__2[[#This Row],[correct_ratio]]=1)</f>
        <v>1</v>
      </c>
      <c r="N75" s="2">
        <f>correct_ratio_df__2[[#This Row],[calc available]]-correct_ratio_df__2[[#This Row],[clac stable]]</f>
        <v>0</v>
      </c>
    </row>
    <row r="76" spans="1:14" x14ac:dyDescent="0.2">
      <c r="A76">
        <v>74</v>
      </c>
      <c r="B76" s="2" t="s">
        <v>75</v>
      </c>
      <c r="C76" s="2" t="s">
        <v>14</v>
      </c>
      <c r="D76" s="2" t="s">
        <v>17</v>
      </c>
      <c r="E76" s="2" t="s">
        <v>21</v>
      </c>
      <c r="F76" s="2" t="s">
        <v>23</v>
      </c>
      <c r="G76">
        <v>1</v>
      </c>
      <c r="H76" s="2" t="s">
        <v>24</v>
      </c>
      <c r="I76" s="2" t="s">
        <v>86</v>
      </c>
      <c r="L76" s="2">
        <f>N(correct_ratio_df__2[[#This Row],[correct_ratio]]&gt;0)</f>
        <v>1</v>
      </c>
      <c r="M76" s="2">
        <f>N(correct_ratio_df__2[[#This Row],[correct_ratio]]=1)</f>
        <v>1</v>
      </c>
      <c r="N76" s="2">
        <f>correct_ratio_df__2[[#This Row],[calc available]]-correct_ratio_df__2[[#This Row],[clac stable]]</f>
        <v>0</v>
      </c>
    </row>
    <row r="77" spans="1:14" x14ac:dyDescent="0.2">
      <c r="A77">
        <v>75</v>
      </c>
      <c r="B77" s="2" t="s">
        <v>76</v>
      </c>
      <c r="C77" s="2" t="s">
        <v>14</v>
      </c>
      <c r="D77" s="2" t="s">
        <v>10</v>
      </c>
      <c r="E77" s="2" t="s">
        <v>21</v>
      </c>
      <c r="F77" s="2" t="s">
        <v>23</v>
      </c>
      <c r="G77">
        <v>1</v>
      </c>
      <c r="H77" s="2" t="s">
        <v>24</v>
      </c>
      <c r="I77" s="2" t="s">
        <v>86</v>
      </c>
      <c r="L77" s="2">
        <f>N(correct_ratio_df__2[[#This Row],[correct_ratio]]&gt;0)</f>
        <v>1</v>
      </c>
      <c r="M77" s="2">
        <f>N(correct_ratio_df__2[[#This Row],[correct_ratio]]=1)</f>
        <v>1</v>
      </c>
      <c r="N77" s="2">
        <f>correct_ratio_df__2[[#This Row],[calc available]]-correct_ratio_df__2[[#This Row],[clac stable]]</f>
        <v>0</v>
      </c>
    </row>
    <row r="78" spans="1:14" x14ac:dyDescent="0.2">
      <c r="A78">
        <v>76</v>
      </c>
      <c r="B78" s="2" t="s">
        <v>77</v>
      </c>
      <c r="C78" s="2" t="s">
        <v>9</v>
      </c>
      <c r="D78" s="2" t="s">
        <v>17</v>
      </c>
      <c r="E78" s="2" t="s">
        <v>15</v>
      </c>
      <c r="F78" s="2" t="s">
        <v>23</v>
      </c>
      <c r="G78">
        <v>0</v>
      </c>
      <c r="H78" s="2" t="s">
        <v>24</v>
      </c>
      <c r="I78" s="2" t="s">
        <v>86</v>
      </c>
      <c r="L78" s="2">
        <f>N(correct_ratio_df__2[[#This Row],[correct_ratio]]&gt;0)</f>
        <v>0</v>
      </c>
      <c r="M78" s="2">
        <f>N(correct_ratio_df__2[[#This Row],[correct_ratio]]=1)</f>
        <v>0</v>
      </c>
      <c r="N78" s="2">
        <f>correct_ratio_df__2[[#This Row],[calc available]]-correct_ratio_df__2[[#This Row],[clac stable]]</f>
        <v>0</v>
      </c>
    </row>
    <row r="79" spans="1:14" x14ac:dyDescent="0.2">
      <c r="A79">
        <v>77</v>
      </c>
      <c r="B79" s="2" t="s">
        <v>78</v>
      </c>
      <c r="C79" s="2" t="s">
        <v>9</v>
      </c>
      <c r="D79" s="2" t="s">
        <v>17</v>
      </c>
      <c r="E79" s="2" t="s">
        <v>21</v>
      </c>
      <c r="F79" s="2" t="s">
        <v>23</v>
      </c>
      <c r="G79">
        <v>1</v>
      </c>
      <c r="H79" s="2" t="s">
        <v>24</v>
      </c>
      <c r="I79" s="2" t="s">
        <v>86</v>
      </c>
      <c r="L79" s="2">
        <f>N(correct_ratio_df__2[[#This Row],[correct_ratio]]&gt;0)</f>
        <v>1</v>
      </c>
      <c r="M79" s="2">
        <f>N(correct_ratio_df__2[[#This Row],[correct_ratio]]=1)</f>
        <v>1</v>
      </c>
      <c r="N79" s="2">
        <f>correct_ratio_df__2[[#This Row],[calc available]]-correct_ratio_df__2[[#This Row],[clac stable]]</f>
        <v>0</v>
      </c>
    </row>
    <row r="80" spans="1:14" x14ac:dyDescent="0.2">
      <c r="A80">
        <v>78</v>
      </c>
      <c r="B80" s="2" t="s">
        <v>79</v>
      </c>
      <c r="C80" s="2" t="s">
        <v>14</v>
      </c>
      <c r="D80" s="2" t="s">
        <v>17</v>
      </c>
      <c r="E80" s="2" t="s">
        <v>11</v>
      </c>
      <c r="F80" s="2" t="s">
        <v>23</v>
      </c>
      <c r="G80">
        <v>0.33333333333333331</v>
      </c>
      <c r="H80" s="2" t="s">
        <v>24</v>
      </c>
      <c r="I80" s="2" t="s">
        <v>86</v>
      </c>
      <c r="L80" s="2">
        <f>N(correct_ratio_df__2[[#This Row],[correct_ratio]]&gt;0)</f>
        <v>1</v>
      </c>
      <c r="M80" s="2">
        <f>N(correct_ratio_df__2[[#This Row],[correct_ratio]]=1)</f>
        <v>0</v>
      </c>
      <c r="N80" s="2">
        <f>correct_ratio_df__2[[#This Row],[calc available]]-correct_ratio_df__2[[#This Row],[clac stable]]</f>
        <v>1</v>
      </c>
    </row>
    <row r="81" spans="1:14" x14ac:dyDescent="0.2">
      <c r="A81">
        <v>79</v>
      </c>
      <c r="B81" s="2" t="s">
        <v>80</v>
      </c>
      <c r="C81" s="2" t="s">
        <v>22</v>
      </c>
      <c r="D81" s="2" t="s">
        <v>20</v>
      </c>
      <c r="E81" s="2" t="s">
        <v>11</v>
      </c>
      <c r="F81" s="2" t="s">
        <v>23</v>
      </c>
      <c r="G81">
        <v>0</v>
      </c>
      <c r="H81" s="2" t="s">
        <v>24</v>
      </c>
      <c r="I81" s="2" t="s">
        <v>86</v>
      </c>
      <c r="L81" s="2">
        <f>N(correct_ratio_df__2[[#This Row],[correct_ratio]]&gt;0)</f>
        <v>0</v>
      </c>
      <c r="M81" s="2">
        <f>N(correct_ratio_df__2[[#This Row],[correct_ratio]]=1)</f>
        <v>0</v>
      </c>
      <c r="N81" s="2">
        <f>correct_ratio_df__2[[#This Row],[calc available]]-correct_ratio_df__2[[#This Row],[clac stable]]</f>
        <v>0</v>
      </c>
    </row>
    <row r="82" spans="1:14" x14ac:dyDescent="0.2">
      <c r="A82">
        <v>80</v>
      </c>
      <c r="B82" s="2" t="s">
        <v>41</v>
      </c>
      <c r="C82" s="2" t="s">
        <v>9</v>
      </c>
      <c r="D82" s="2" t="s">
        <v>10</v>
      </c>
      <c r="E82" s="2" t="s">
        <v>11</v>
      </c>
      <c r="F82" s="2" t="s">
        <v>25</v>
      </c>
      <c r="G82">
        <v>1</v>
      </c>
      <c r="H82" s="2" t="s">
        <v>13</v>
      </c>
      <c r="I82" s="2" t="s">
        <v>86</v>
      </c>
      <c r="L82" s="2">
        <f>N(correct_ratio_df__2[[#This Row],[correct_ratio]]&gt;0)</f>
        <v>1</v>
      </c>
      <c r="M82" s="2">
        <f>N(correct_ratio_df__2[[#This Row],[correct_ratio]]=1)</f>
        <v>1</v>
      </c>
      <c r="N82" s="2">
        <f>correct_ratio_df__2[[#This Row],[calc available]]-correct_ratio_df__2[[#This Row],[clac stable]]</f>
        <v>0</v>
      </c>
    </row>
    <row r="83" spans="1:14" x14ac:dyDescent="0.2">
      <c r="A83">
        <v>81</v>
      </c>
      <c r="B83" s="2" t="s">
        <v>42</v>
      </c>
      <c r="C83" s="2" t="s">
        <v>14</v>
      </c>
      <c r="D83" s="2" t="s">
        <v>10</v>
      </c>
      <c r="E83" s="2" t="s">
        <v>15</v>
      </c>
      <c r="F83" s="2" t="s">
        <v>25</v>
      </c>
      <c r="G83">
        <v>1</v>
      </c>
      <c r="H83" s="2" t="s">
        <v>13</v>
      </c>
      <c r="I83" s="2" t="s">
        <v>86</v>
      </c>
      <c r="L83" s="2">
        <f>N(correct_ratio_df__2[[#This Row],[correct_ratio]]&gt;0)</f>
        <v>1</v>
      </c>
      <c r="M83" s="2">
        <f>N(correct_ratio_df__2[[#This Row],[correct_ratio]]=1)</f>
        <v>1</v>
      </c>
      <c r="N83" s="2">
        <f>correct_ratio_df__2[[#This Row],[calc available]]-correct_ratio_df__2[[#This Row],[clac stable]]</f>
        <v>0</v>
      </c>
    </row>
    <row r="84" spans="1:14" x14ac:dyDescent="0.2">
      <c r="A84">
        <v>82</v>
      </c>
      <c r="B84" s="2" t="s">
        <v>43</v>
      </c>
      <c r="C84" s="2" t="s">
        <v>16</v>
      </c>
      <c r="D84" s="2" t="s">
        <v>17</v>
      </c>
      <c r="E84" s="2" t="s">
        <v>11</v>
      </c>
      <c r="F84" s="2" t="s">
        <v>25</v>
      </c>
      <c r="G84">
        <v>1</v>
      </c>
      <c r="H84" s="2" t="s">
        <v>13</v>
      </c>
      <c r="I84" s="2" t="s">
        <v>86</v>
      </c>
      <c r="L84" s="2">
        <f>N(correct_ratio_df__2[[#This Row],[correct_ratio]]&gt;0)</f>
        <v>1</v>
      </c>
      <c r="M84" s="2">
        <f>N(correct_ratio_df__2[[#This Row],[correct_ratio]]=1)</f>
        <v>1</v>
      </c>
      <c r="N84" s="2">
        <f>correct_ratio_df__2[[#This Row],[calc available]]-correct_ratio_df__2[[#This Row],[clac stable]]</f>
        <v>0</v>
      </c>
    </row>
    <row r="85" spans="1:14" x14ac:dyDescent="0.2">
      <c r="A85">
        <v>83</v>
      </c>
      <c r="B85" s="2" t="s">
        <v>44</v>
      </c>
      <c r="C85" s="2" t="s">
        <v>16</v>
      </c>
      <c r="D85" s="2" t="s">
        <v>10</v>
      </c>
      <c r="E85" s="2" t="s">
        <v>15</v>
      </c>
      <c r="F85" s="2" t="s">
        <v>25</v>
      </c>
      <c r="G85">
        <v>1</v>
      </c>
      <c r="H85" s="2" t="s">
        <v>13</v>
      </c>
      <c r="I85" s="2" t="s">
        <v>86</v>
      </c>
      <c r="L85" s="2">
        <f>N(correct_ratio_df__2[[#This Row],[correct_ratio]]&gt;0)</f>
        <v>1</v>
      </c>
      <c r="M85" s="2">
        <f>N(correct_ratio_df__2[[#This Row],[correct_ratio]]=1)</f>
        <v>1</v>
      </c>
      <c r="N85" s="2">
        <f>correct_ratio_df__2[[#This Row],[calc available]]-correct_ratio_df__2[[#This Row],[clac stable]]</f>
        <v>0</v>
      </c>
    </row>
    <row r="86" spans="1:14" x14ac:dyDescent="0.2">
      <c r="A86">
        <v>84</v>
      </c>
      <c r="B86" s="2" t="s">
        <v>45</v>
      </c>
      <c r="C86" s="2" t="s">
        <v>14</v>
      </c>
      <c r="D86" s="2" t="s">
        <v>18</v>
      </c>
      <c r="E86" s="2" t="s">
        <v>15</v>
      </c>
      <c r="F86" s="2" t="s">
        <v>25</v>
      </c>
      <c r="G86">
        <v>1</v>
      </c>
      <c r="H86" s="2" t="s">
        <v>13</v>
      </c>
      <c r="I86" s="2" t="s">
        <v>86</v>
      </c>
      <c r="L86" s="2">
        <f>N(correct_ratio_df__2[[#This Row],[correct_ratio]]&gt;0)</f>
        <v>1</v>
      </c>
      <c r="M86" s="2">
        <f>N(correct_ratio_df__2[[#This Row],[correct_ratio]]=1)</f>
        <v>1</v>
      </c>
      <c r="N86" s="2">
        <f>correct_ratio_df__2[[#This Row],[calc available]]-correct_ratio_df__2[[#This Row],[clac stable]]</f>
        <v>0</v>
      </c>
    </row>
    <row r="87" spans="1:14" x14ac:dyDescent="0.2">
      <c r="A87">
        <v>85</v>
      </c>
      <c r="B87" s="2" t="s">
        <v>46</v>
      </c>
      <c r="C87" s="2" t="s">
        <v>14</v>
      </c>
      <c r="D87" s="2" t="s">
        <v>10</v>
      </c>
      <c r="E87" s="2" t="s">
        <v>15</v>
      </c>
      <c r="F87" s="2" t="s">
        <v>25</v>
      </c>
      <c r="G87">
        <v>1</v>
      </c>
      <c r="H87" s="2" t="s">
        <v>13</v>
      </c>
      <c r="I87" s="2" t="s">
        <v>86</v>
      </c>
      <c r="L87" s="2">
        <f>N(correct_ratio_df__2[[#This Row],[correct_ratio]]&gt;0)</f>
        <v>1</v>
      </c>
      <c r="M87" s="2">
        <f>N(correct_ratio_df__2[[#This Row],[correct_ratio]]=1)</f>
        <v>1</v>
      </c>
      <c r="N87" s="2">
        <f>correct_ratio_df__2[[#This Row],[calc available]]-correct_ratio_df__2[[#This Row],[clac stable]]</f>
        <v>0</v>
      </c>
    </row>
    <row r="88" spans="1:14" x14ac:dyDescent="0.2">
      <c r="A88">
        <v>86</v>
      </c>
      <c r="B88" s="2" t="s">
        <v>47</v>
      </c>
      <c r="C88" s="2" t="s">
        <v>19</v>
      </c>
      <c r="D88" s="2" t="s">
        <v>10</v>
      </c>
      <c r="E88" s="2" t="s">
        <v>15</v>
      </c>
      <c r="F88" s="2" t="s">
        <v>25</v>
      </c>
      <c r="G88">
        <v>1</v>
      </c>
      <c r="H88" s="2" t="s">
        <v>13</v>
      </c>
      <c r="I88" s="2" t="s">
        <v>86</v>
      </c>
      <c r="L88" s="2">
        <f>N(correct_ratio_df__2[[#This Row],[correct_ratio]]&gt;0)</f>
        <v>1</v>
      </c>
      <c r="M88" s="2">
        <f>N(correct_ratio_df__2[[#This Row],[correct_ratio]]=1)</f>
        <v>1</v>
      </c>
      <c r="N88" s="2">
        <f>correct_ratio_df__2[[#This Row],[calc available]]-correct_ratio_df__2[[#This Row],[clac stable]]</f>
        <v>0</v>
      </c>
    </row>
    <row r="89" spans="1:14" x14ac:dyDescent="0.2">
      <c r="A89">
        <v>87</v>
      </c>
      <c r="B89" s="2" t="s">
        <v>48</v>
      </c>
      <c r="C89" s="2" t="s">
        <v>16</v>
      </c>
      <c r="D89" s="2" t="s">
        <v>20</v>
      </c>
      <c r="E89" s="2" t="s">
        <v>21</v>
      </c>
      <c r="F89" s="2" t="s">
        <v>25</v>
      </c>
      <c r="G89">
        <v>1</v>
      </c>
      <c r="H89" s="2" t="s">
        <v>13</v>
      </c>
      <c r="I89" s="2" t="s">
        <v>86</v>
      </c>
      <c r="L89" s="2">
        <f>N(correct_ratio_df__2[[#This Row],[correct_ratio]]&gt;0)</f>
        <v>1</v>
      </c>
      <c r="M89" s="2">
        <f>N(correct_ratio_df__2[[#This Row],[correct_ratio]]=1)</f>
        <v>1</v>
      </c>
      <c r="N89" s="2">
        <f>correct_ratio_df__2[[#This Row],[calc available]]-correct_ratio_df__2[[#This Row],[clac stable]]</f>
        <v>0</v>
      </c>
    </row>
    <row r="90" spans="1:14" x14ac:dyDescent="0.2">
      <c r="A90">
        <v>88</v>
      </c>
      <c r="B90" s="2" t="s">
        <v>49</v>
      </c>
      <c r="C90" s="2" t="s">
        <v>16</v>
      </c>
      <c r="D90" s="2" t="s">
        <v>10</v>
      </c>
      <c r="E90" s="2" t="s">
        <v>21</v>
      </c>
      <c r="F90" s="2" t="s">
        <v>25</v>
      </c>
      <c r="G90">
        <v>1</v>
      </c>
      <c r="H90" s="2" t="s">
        <v>13</v>
      </c>
      <c r="I90" s="2" t="s">
        <v>86</v>
      </c>
      <c r="L90" s="2">
        <f>N(correct_ratio_df__2[[#This Row],[correct_ratio]]&gt;0)</f>
        <v>1</v>
      </c>
      <c r="M90" s="2">
        <f>N(correct_ratio_df__2[[#This Row],[correct_ratio]]=1)</f>
        <v>1</v>
      </c>
      <c r="N90" s="2">
        <f>correct_ratio_df__2[[#This Row],[calc available]]-correct_ratio_df__2[[#This Row],[clac stable]]</f>
        <v>0</v>
      </c>
    </row>
    <row r="91" spans="1:14" x14ac:dyDescent="0.2">
      <c r="A91">
        <v>89</v>
      </c>
      <c r="B91" s="2" t="s">
        <v>50</v>
      </c>
      <c r="C91" s="2" t="s">
        <v>9</v>
      </c>
      <c r="D91" s="2" t="s">
        <v>17</v>
      </c>
      <c r="E91" s="2" t="s">
        <v>21</v>
      </c>
      <c r="F91" s="2" t="s">
        <v>25</v>
      </c>
      <c r="G91">
        <v>1</v>
      </c>
      <c r="H91" s="2" t="s">
        <v>13</v>
      </c>
      <c r="I91" s="2" t="s">
        <v>86</v>
      </c>
      <c r="L91" s="2">
        <f>N(correct_ratio_df__2[[#This Row],[correct_ratio]]&gt;0)</f>
        <v>1</v>
      </c>
      <c r="M91" s="2">
        <f>N(correct_ratio_df__2[[#This Row],[correct_ratio]]=1)</f>
        <v>1</v>
      </c>
      <c r="N91" s="2">
        <f>correct_ratio_df__2[[#This Row],[calc available]]-correct_ratio_df__2[[#This Row],[clac stable]]</f>
        <v>0</v>
      </c>
    </row>
    <row r="92" spans="1:14" x14ac:dyDescent="0.2">
      <c r="A92">
        <v>90</v>
      </c>
      <c r="B92" s="2" t="s">
        <v>51</v>
      </c>
      <c r="C92" s="2" t="s">
        <v>16</v>
      </c>
      <c r="D92" s="2" t="s">
        <v>17</v>
      </c>
      <c r="E92" s="2" t="s">
        <v>11</v>
      </c>
      <c r="F92" s="2" t="s">
        <v>25</v>
      </c>
      <c r="G92">
        <v>1</v>
      </c>
      <c r="H92" s="2" t="s">
        <v>13</v>
      </c>
      <c r="I92" s="2" t="s">
        <v>86</v>
      </c>
      <c r="L92" s="2">
        <f>N(correct_ratio_df__2[[#This Row],[correct_ratio]]&gt;0)</f>
        <v>1</v>
      </c>
      <c r="M92" s="2">
        <f>N(correct_ratio_df__2[[#This Row],[correct_ratio]]=1)</f>
        <v>1</v>
      </c>
      <c r="N92" s="2">
        <f>correct_ratio_df__2[[#This Row],[calc available]]-correct_ratio_df__2[[#This Row],[clac stable]]</f>
        <v>0</v>
      </c>
    </row>
    <row r="93" spans="1:14" x14ac:dyDescent="0.2">
      <c r="A93">
        <v>91</v>
      </c>
      <c r="B93" s="2" t="s">
        <v>52</v>
      </c>
      <c r="C93" s="2" t="s">
        <v>9</v>
      </c>
      <c r="D93" s="2" t="s">
        <v>17</v>
      </c>
      <c r="E93" s="2" t="s">
        <v>15</v>
      </c>
      <c r="F93" s="2" t="s">
        <v>25</v>
      </c>
      <c r="G93">
        <v>1</v>
      </c>
      <c r="H93" s="2" t="s">
        <v>13</v>
      </c>
      <c r="I93" s="2" t="s">
        <v>86</v>
      </c>
      <c r="L93" s="2">
        <f>N(correct_ratio_df__2[[#This Row],[correct_ratio]]&gt;0)</f>
        <v>1</v>
      </c>
      <c r="M93" s="2">
        <f>N(correct_ratio_df__2[[#This Row],[correct_ratio]]=1)</f>
        <v>1</v>
      </c>
      <c r="N93" s="2">
        <f>correct_ratio_df__2[[#This Row],[calc available]]-correct_ratio_df__2[[#This Row],[clac stable]]</f>
        <v>0</v>
      </c>
    </row>
    <row r="94" spans="1:14" x14ac:dyDescent="0.2">
      <c r="A94">
        <v>92</v>
      </c>
      <c r="B94" s="2" t="s">
        <v>53</v>
      </c>
      <c r="C94" s="2" t="s">
        <v>19</v>
      </c>
      <c r="D94" s="2" t="s">
        <v>17</v>
      </c>
      <c r="E94" s="2" t="s">
        <v>21</v>
      </c>
      <c r="F94" s="2" t="s">
        <v>25</v>
      </c>
      <c r="G94">
        <v>1</v>
      </c>
      <c r="H94" s="2" t="s">
        <v>13</v>
      </c>
      <c r="I94" s="2" t="s">
        <v>86</v>
      </c>
      <c r="L94" s="2">
        <f>N(correct_ratio_df__2[[#This Row],[correct_ratio]]&gt;0)</f>
        <v>1</v>
      </c>
      <c r="M94" s="2">
        <f>N(correct_ratio_df__2[[#This Row],[correct_ratio]]=1)</f>
        <v>1</v>
      </c>
      <c r="N94" s="2">
        <f>correct_ratio_df__2[[#This Row],[calc available]]-correct_ratio_df__2[[#This Row],[clac stable]]</f>
        <v>0</v>
      </c>
    </row>
    <row r="95" spans="1:14" x14ac:dyDescent="0.2">
      <c r="A95">
        <v>93</v>
      </c>
      <c r="B95" s="2" t="s">
        <v>54</v>
      </c>
      <c r="C95" s="2" t="s">
        <v>14</v>
      </c>
      <c r="D95" s="2" t="s">
        <v>17</v>
      </c>
      <c r="E95" s="2" t="s">
        <v>15</v>
      </c>
      <c r="F95" s="2" t="s">
        <v>25</v>
      </c>
      <c r="G95">
        <v>1</v>
      </c>
      <c r="H95" s="2" t="s">
        <v>13</v>
      </c>
      <c r="I95" s="2" t="s">
        <v>86</v>
      </c>
      <c r="L95" s="2">
        <f>N(correct_ratio_df__2[[#This Row],[correct_ratio]]&gt;0)</f>
        <v>1</v>
      </c>
      <c r="M95" s="2">
        <f>N(correct_ratio_df__2[[#This Row],[correct_ratio]]=1)</f>
        <v>1</v>
      </c>
      <c r="N95" s="2">
        <f>correct_ratio_df__2[[#This Row],[calc available]]-correct_ratio_df__2[[#This Row],[clac stable]]</f>
        <v>0</v>
      </c>
    </row>
    <row r="96" spans="1:14" x14ac:dyDescent="0.2">
      <c r="A96">
        <v>94</v>
      </c>
      <c r="B96" s="2" t="s">
        <v>55</v>
      </c>
      <c r="C96" s="2" t="s">
        <v>9</v>
      </c>
      <c r="D96" s="2" t="s">
        <v>18</v>
      </c>
      <c r="E96" s="2" t="s">
        <v>21</v>
      </c>
      <c r="F96" s="2" t="s">
        <v>25</v>
      </c>
      <c r="G96">
        <v>1</v>
      </c>
      <c r="H96" s="2" t="s">
        <v>13</v>
      </c>
      <c r="I96" s="2" t="s">
        <v>86</v>
      </c>
      <c r="L96" s="2">
        <f>N(correct_ratio_df__2[[#This Row],[correct_ratio]]&gt;0)</f>
        <v>1</v>
      </c>
      <c r="M96" s="2">
        <f>N(correct_ratio_df__2[[#This Row],[correct_ratio]]=1)</f>
        <v>1</v>
      </c>
      <c r="N96" s="2">
        <f>correct_ratio_df__2[[#This Row],[calc available]]-correct_ratio_df__2[[#This Row],[clac stable]]</f>
        <v>0</v>
      </c>
    </row>
    <row r="97" spans="1:14" x14ac:dyDescent="0.2">
      <c r="A97">
        <v>95</v>
      </c>
      <c r="B97" s="2" t="s">
        <v>56</v>
      </c>
      <c r="C97" s="2" t="s">
        <v>19</v>
      </c>
      <c r="D97" s="2" t="s">
        <v>17</v>
      </c>
      <c r="E97" s="2" t="s">
        <v>21</v>
      </c>
      <c r="F97" s="2" t="s">
        <v>25</v>
      </c>
      <c r="G97">
        <v>1</v>
      </c>
      <c r="H97" s="2" t="s">
        <v>13</v>
      </c>
      <c r="I97" s="2" t="s">
        <v>86</v>
      </c>
      <c r="L97" s="2">
        <f>N(correct_ratio_df__2[[#This Row],[correct_ratio]]&gt;0)</f>
        <v>1</v>
      </c>
      <c r="M97" s="2">
        <f>N(correct_ratio_df__2[[#This Row],[correct_ratio]]=1)</f>
        <v>1</v>
      </c>
      <c r="N97" s="2">
        <f>correct_ratio_df__2[[#This Row],[calc available]]-correct_ratio_df__2[[#This Row],[clac stable]]</f>
        <v>0</v>
      </c>
    </row>
    <row r="98" spans="1:14" x14ac:dyDescent="0.2">
      <c r="A98">
        <v>96</v>
      </c>
      <c r="B98" s="2" t="s">
        <v>57</v>
      </c>
      <c r="C98" s="2" t="s">
        <v>9</v>
      </c>
      <c r="D98" s="2" t="s">
        <v>17</v>
      </c>
      <c r="E98" s="2" t="s">
        <v>21</v>
      </c>
      <c r="F98" s="2" t="s">
        <v>25</v>
      </c>
      <c r="G98">
        <v>1</v>
      </c>
      <c r="H98" s="2" t="s">
        <v>13</v>
      </c>
      <c r="I98" s="2" t="s">
        <v>86</v>
      </c>
      <c r="L98" s="2">
        <f>N(correct_ratio_df__2[[#This Row],[correct_ratio]]&gt;0)</f>
        <v>1</v>
      </c>
      <c r="M98" s="2">
        <f>N(correct_ratio_df__2[[#This Row],[correct_ratio]]=1)</f>
        <v>1</v>
      </c>
      <c r="N98" s="2">
        <f>correct_ratio_df__2[[#This Row],[calc available]]-correct_ratio_df__2[[#This Row],[clac stable]]</f>
        <v>0</v>
      </c>
    </row>
    <row r="99" spans="1:14" x14ac:dyDescent="0.2">
      <c r="A99">
        <v>97</v>
      </c>
      <c r="B99" s="2" t="s">
        <v>58</v>
      </c>
      <c r="C99" s="2" t="s">
        <v>9</v>
      </c>
      <c r="D99" s="2" t="s">
        <v>17</v>
      </c>
      <c r="E99" s="2" t="s">
        <v>21</v>
      </c>
      <c r="F99" s="2" t="s">
        <v>25</v>
      </c>
      <c r="G99">
        <v>0</v>
      </c>
      <c r="H99" s="2" t="s">
        <v>13</v>
      </c>
      <c r="I99" s="2" t="s">
        <v>86</v>
      </c>
      <c r="L99" s="2">
        <f>N(correct_ratio_df__2[[#This Row],[correct_ratio]]&gt;0)</f>
        <v>0</v>
      </c>
      <c r="M99" s="2">
        <f>N(correct_ratio_df__2[[#This Row],[correct_ratio]]=1)</f>
        <v>0</v>
      </c>
      <c r="N99" s="2">
        <f>correct_ratio_df__2[[#This Row],[calc available]]-correct_ratio_df__2[[#This Row],[clac stable]]</f>
        <v>0</v>
      </c>
    </row>
    <row r="100" spans="1:14" x14ac:dyDescent="0.2">
      <c r="A100">
        <v>98</v>
      </c>
      <c r="B100" s="2" t="s">
        <v>59</v>
      </c>
      <c r="C100" s="2" t="s">
        <v>19</v>
      </c>
      <c r="D100" s="2" t="s">
        <v>17</v>
      </c>
      <c r="E100" s="2" t="s">
        <v>15</v>
      </c>
      <c r="F100" s="2" t="s">
        <v>25</v>
      </c>
      <c r="G100">
        <v>1</v>
      </c>
      <c r="H100" s="2" t="s">
        <v>13</v>
      </c>
      <c r="I100" s="2" t="s">
        <v>86</v>
      </c>
      <c r="L100" s="2">
        <f>N(correct_ratio_df__2[[#This Row],[correct_ratio]]&gt;0)</f>
        <v>1</v>
      </c>
      <c r="M100" s="2">
        <f>N(correct_ratio_df__2[[#This Row],[correct_ratio]]=1)</f>
        <v>1</v>
      </c>
      <c r="N100" s="2">
        <f>correct_ratio_df__2[[#This Row],[calc available]]-correct_ratio_df__2[[#This Row],[clac stable]]</f>
        <v>0</v>
      </c>
    </row>
    <row r="101" spans="1:14" x14ac:dyDescent="0.2">
      <c r="A101">
        <v>99</v>
      </c>
      <c r="B101" s="2" t="s">
        <v>60</v>
      </c>
      <c r="C101" s="2" t="s">
        <v>9</v>
      </c>
      <c r="D101" s="2" t="s">
        <v>17</v>
      </c>
      <c r="E101" s="2" t="s">
        <v>21</v>
      </c>
      <c r="F101" s="2" t="s">
        <v>25</v>
      </c>
      <c r="G101">
        <v>0.66666666666666663</v>
      </c>
      <c r="H101" s="2" t="s">
        <v>13</v>
      </c>
      <c r="I101" s="2" t="s">
        <v>86</v>
      </c>
      <c r="L101" s="2">
        <f>N(correct_ratio_df__2[[#This Row],[correct_ratio]]&gt;0)</f>
        <v>1</v>
      </c>
      <c r="M101" s="2">
        <f>N(correct_ratio_df__2[[#This Row],[correct_ratio]]=1)</f>
        <v>0</v>
      </c>
      <c r="N101" s="2">
        <f>correct_ratio_df__2[[#This Row],[calc available]]-correct_ratio_df__2[[#This Row],[clac stable]]</f>
        <v>1</v>
      </c>
    </row>
    <row r="102" spans="1:14" x14ac:dyDescent="0.2">
      <c r="A102">
        <v>100</v>
      </c>
      <c r="B102" s="2" t="s">
        <v>61</v>
      </c>
      <c r="C102" s="2" t="s">
        <v>14</v>
      </c>
      <c r="D102" s="2" t="s">
        <v>10</v>
      </c>
      <c r="E102" s="2" t="s">
        <v>11</v>
      </c>
      <c r="F102" s="2" t="s">
        <v>25</v>
      </c>
      <c r="G102">
        <v>1</v>
      </c>
      <c r="H102" s="2" t="s">
        <v>13</v>
      </c>
      <c r="I102" s="2" t="s">
        <v>86</v>
      </c>
      <c r="L102" s="2">
        <f>N(correct_ratio_df__2[[#This Row],[correct_ratio]]&gt;0)</f>
        <v>1</v>
      </c>
      <c r="M102" s="2">
        <f>N(correct_ratio_df__2[[#This Row],[correct_ratio]]=1)</f>
        <v>1</v>
      </c>
      <c r="N102" s="2">
        <f>correct_ratio_df__2[[#This Row],[calc available]]-correct_ratio_df__2[[#This Row],[clac stable]]</f>
        <v>0</v>
      </c>
    </row>
    <row r="103" spans="1:14" x14ac:dyDescent="0.2">
      <c r="A103">
        <v>101</v>
      </c>
      <c r="B103" s="2" t="s">
        <v>62</v>
      </c>
      <c r="C103" s="2" t="s">
        <v>16</v>
      </c>
      <c r="D103" s="2" t="s">
        <v>18</v>
      </c>
      <c r="E103" s="2" t="s">
        <v>11</v>
      </c>
      <c r="F103" s="2" t="s">
        <v>25</v>
      </c>
      <c r="G103">
        <v>0.66666666666666663</v>
      </c>
      <c r="H103" s="2" t="s">
        <v>13</v>
      </c>
      <c r="I103" s="2" t="s">
        <v>86</v>
      </c>
      <c r="L103" s="2">
        <f>N(correct_ratio_df__2[[#This Row],[correct_ratio]]&gt;0)</f>
        <v>1</v>
      </c>
      <c r="M103" s="2">
        <f>N(correct_ratio_df__2[[#This Row],[correct_ratio]]=1)</f>
        <v>0</v>
      </c>
      <c r="N103" s="2">
        <f>correct_ratio_df__2[[#This Row],[calc available]]-correct_ratio_df__2[[#This Row],[clac stable]]</f>
        <v>1</v>
      </c>
    </row>
    <row r="104" spans="1:14" x14ac:dyDescent="0.2">
      <c r="A104">
        <v>102</v>
      </c>
      <c r="B104" s="2" t="s">
        <v>63</v>
      </c>
      <c r="C104" s="2" t="s">
        <v>9</v>
      </c>
      <c r="D104" s="2" t="s">
        <v>20</v>
      </c>
      <c r="E104" s="2" t="s">
        <v>15</v>
      </c>
      <c r="F104" s="2" t="s">
        <v>25</v>
      </c>
      <c r="G104">
        <v>1</v>
      </c>
      <c r="H104" s="2" t="s">
        <v>13</v>
      </c>
      <c r="I104" s="2" t="s">
        <v>86</v>
      </c>
      <c r="L104" s="2">
        <f>N(correct_ratio_df__2[[#This Row],[correct_ratio]]&gt;0)</f>
        <v>1</v>
      </c>
      <c r="M104" s="2">
        <f>N(correct_ratio_df__2[[#This Row],[correct_ratio]]=1)</f>
        <v>1</v>
      </c>
      <c r="N104" s="2">
        <f>correct_ratio_df__2[[#This Row],[calc available]]-correct_ratio_df__2[[#This Row],[clac stable]]</f>
        <v>0</v>
      </c>
    </row>
    <row r="105" spans="1:14" x14ac:dyDescent="0.2">
      <c r="A105">
        <v>103</v>
      </c>
      <c r="B105" s="2" t="s">
        <v>64</v>
      </c>
      <c r="C105" s="2" t="s">
        <v>14</v>
      </c>
      <c r="D105" s="2" t="s">
        <v>17</v>
      </c>
      <c r="E105" s="2" t="s">
        <v>11</v>
      </c>
      <c r="F105" s="2" t="s">
        <v>25</v>
      </c>
      <c r="G105">
        <v>1</v>
      </c>
      <c r="H105" s="2" t="s">
        <v>13</v>
      </c>
      <c r="I105" s="2" t="s">
        <v>86</v>
      </c>
      <c r="L105" s="2">
        <f>N(correct_ratio_df__2[[#This Row],[correct_ratio]]&gt;0)</f>
        <v>1</v>
      </c>
      <c r="M105" s="2">
        <f>N(correct_ratio_df__2[[#This Row],[correct_ratio]]=1)</f>
        <v>1</v>
      </c>
      <c r="N105" s="2">
        <f>correct_ratio_df__2[[#This Row],[calc available]]-correct_ratio_df__2[[#This Row],[clac stable]]</f>
        <v>0</v>
      </c>
    </row>
    <row r="106" spans="1:14" x14ac:dyDescent="0.2">
      <c r="A106">
        <v>104</v>
      </c>
      <c r="B106" s="2" t="s">
        <v>65</v>
      </c>
      <c r="C106" s="2" t="s">
        <v>19</v>
      </c>
      <c r="D106" s="2" t="s">
        <v>18</v>
      </c>
      <c r="E106" s="2" t="s">
        <v>21</v>
      </c>
      <c r="F106" s="2" t="s">
        <v>25</v>
      </c>
      <c r="G106">
        <v>1</v>
      </c>
      <c r="H106" s="2" t="s">
        <v>13</v>
      </c>
      <c r="I106" s="2" t="s">
        <v>86</v>
      </c>
      <c r="L106" s="2">
        <f>N(correct_ratio_df__2[[#This Row],[correct_ratio]]&gt;0)</f>
        <v>1</v>
      </c>
      <c r="M106" s="2">
        <f>N(correct_ratio_df__2[[#This Row],[correct_ratio]]=1)</f>
        <v>1</v>
      </c>
      <c r="N106" s="2">
        <f>correct_ratio_df__2[[#This Row],[calc available]]-correct_ratio_df__2[[#This Row],[clac stable]]</f>
        <v>0</v>
      </c>
    </row>
    <row r="107" spans="1:14" x14ac:dyDescent="0.2">
      <c r="A107">
        <v>105</v>
      </c>
      <c r="B107" s="2" t="s">
        <v>66</v>
      </c>
      <c r="C107" s="2" t="s">
        <v>14</v>
      </c>
      <c r="D107" s="2" t="s">
        <v>18</v>
      </c>
      <c r="E107" s="2" t="s">
        <v>15</v>
      </c>
      <c r="F107" s="2" t="s">
        <v>25</v>
      </c>
      <c r="G107">
        <v>1</v>
      </c>
      <c r="H107" s="2" t="s">
        <v>13</v>
      </c>
      <c r="I107" s="2" t="s">
        <v>86</v>
      </c>
      <c r="L107" s="2">
        <f>N(correct_ratio_df__2[[#This Row],[correct_ratio]]&gt;0)</f>
        <v>1</v>
      </c>
      <c r="M107" s="2">
        <f>N(correct_ratio_df__2[[#This Row],[correct_ratio]]=1)</f>
        <v>1</v>
      </c>
      <c r="N107" s="2">
        <f>correct_ratio_df__2[[#This Row],[calc available]]-correct_ratio_df__2[[#This Row],[clac stable]]</f>
        <v>0</v>
      </c>
    </row>
    <row r="108" spans="1:14" x14ac:dyDescent="0.2">
      <c r="A108">
        <v>106</v>
      </c>
      <c r="B108" s="2" t="s">
        <v>67</v>
      </c>
      <c r="C108" s="2" t="s">
        <v>9</v>
      </c>
      <c r="D108" s="2" t="s">
        <v>17</v>
      </c>
      <c r="E108" s="2" t="s">
        <v>21</v>
      </c>
      <c r="F108" s="2" t="s">
        <v>25</v>
      </c>
      <c r="G108">
        <v>1</v>
      </c>
      <c r="H108" s="2" t="s">
        <v>13</v>
      </c>
      <c r="I108" s="2" t="s">
        <v>86</v>
      </c>
      <c r="L108" s="2">
        <f>N(correct_ratio_df__2[[#This Row],[correct_ratio]]&gt;0)</f>
        <v>1</v>
      </c>
      <c r="M108" s="2">
        <f>N(correct_ratio_df__2[[#This Row],[correct_ratio]]=1)</f>
        <v>1</v>
      </c>
      <c r="N108" s="2">
        <f>correct_ratio_df__2[[#This Row],[calc available]]-correct_ratio_df__2[[#This Row],[clac stable]]</f>
        <v>0</v>
      </c>
    </row>
    <row r="109" spans="1:14" x14ac:dyDescent="0.2">
      <c r="A109">
        <v>107</v>
      </c>
      <c r="B109" s="2" t="s">
        <v>68</v>
      </c>
      <c r="C109" s="2" t="s">
        <v>14</v>
      </c>
      <c r="D109" s="2" t="s">
        <v>17</v>
      </c>
      <c r="E109" s="2" t="s">
        <v>15</v>
      </c>
      <c r="F109" s="2" t="s">
        <v>25</v>
      </c>
      <c r="G109">
        <v>1</v>
      </c>
      <c r="H109" s="2" t="s">
        <v>13</v>
      </c>
      <c r="I109" s="2" t="s">
        <v>86</v>
      </c>
      <c r="L109" s="2">
        <f>N(correct_ratio_df__2[[#This Row],[correct_ratio]]&gt;0)</f>
        <v>1</v>
      </c>
      <c r="M109" s="2">
        <f>N(correct_ratio_df__2[[#This Row],[correct_ratio]]=1)</f>
        <v>1</v>
      </c>
      <c r="N109" s="2">
        <f>correct_ratio_df__2[[#This Row],[calc available]]-correct_ratio_df__2[[#This Row],[clac stable]]</f>
        <v>0</v>
      </c>
    </row>
    <row r="110" spans="1:14" x14ac:dyDescent="0.2">
      <c r="A110">
        <v>108</v>
      </c>
      <c r="B110" s="2" t="s">
        <v>69</v>
      </c>
      <c r="C110" s="2" t="s">
        <v>22</v>
      </c>
      <c r="D110" s="2" t="s">
        <v>17</v>
      </c>
      <c r="E110" s="2" t="s">
        <v>11</v>
      </c>
      <c r="F110" s="2" t="s">
        <v>25</v>
      </c>
      <c r="G110">
        <v>1</v>
      </c>
      <c r="H110" s="2" t="s">
        <v>13</v>
      </c>
      <c r="I110" s="2" t="s">
        <v>86</v>
      </c>
      <c r="L110" s="2">
        <f>N(correct_ratio_df__2[[#This Row],[correct_ratio]]&gt;0)</f>
        <v>1</v>
      </c>
      <c r="M110" s="2">
        <f>N(correct_ratio_df__2[[#This Row],[correct_ratio]]=1)</f>
        <v>1</v>
      </c>
      <c r="N110" s="2">
        <f>correct_ratio_df__2[[#This Row],[calc available]]-correct_ratio_df__2[[#This Row],[clac stable]]</f>
        <v>0</v>
      </c>
    </row>
    <row r="111" spans="1:14" x14ac:dyDescent="0.2">
      <c r="A111">
        <v>109</v>
      </c>
      <c r="B111" s="2" t="s">
        <v>70</v>
      </c>
      <c r="C111" s="2" t="s">
        <v>9</v>
      </c>
      <c r="D111" s="2" t="s">
        <v>17</v>
      </c>
      <c r="E111" s="2" t="s">
        <v>15</v>
      </c>
      <c r="F111" s="2" t="s">
        <v>25</v>
      </c>
      <c r="G111">
        <v>1</v>
      </c>
      <c r="H111" s="2" t="s">
        <v>13</v>
      </c>
      <c r="I111" s="2" t="s">
        <v>86</v>
      </c>
      <c r="L111" s="2">
        <f>N(correct_ratio_df__2[[#This Row],[correct_ratio]]&gt;0)</f>
        <v>1</v>
      </c>
      <c r="M111" s="2">
        <f>N(correct_ratio_df__2[[#This Row],[correct_ratio]]=1)</f>
        <v>1</v>
      </c>
      <c r="N111" s="2">
        <f>correct_ratio_df__2[[#This Row],[calc available]]-correct_ratio_df__2[[#This Row],[clac stable]]</f>
        <v>0</v>
      </c>
    </row>
    <row r="112" spans="1:14" x14ac:dyDescent="0.2">
      <c r="A112">
        <v>110</v>
      </c>
      <c r="B112" s="2" t="s">
        <v>71</v>
      </c>
      <c r="C112" s="2" t="s">
        <v>9</v>
      </c>
      <c r="D112" s="2" t="s">
        <v>17</v>
      </c>
      <c r="E112" s="2" t="s">
        <v>21</v>
      </c>
      <c r="F112" s="2" t="s">
        <v>25</v>
      </c>
      <c r="G112">
        <v>0</v>
      </c>
      <c r="H112" s="2" t="s">
        <v>13</v>
      </c>
      <c r="I112" s="2" t="s">
        <v>86</v>
      </c>
      <c r="L112" s="2">
        <f>N(correct_ratio_df__2[[#This Row],[correct_ratio]]&gt;0)</f>
        <v>0</v>
      </c>
      <c r="M112" s="2">
        <f>N(correct_ratio_df__2[[#This Row],[correct_ratio]]=1)</f>
        <v>0</v>
      </c>
      <c r="N112" s="2">
        <f>correct_ratio_df__2[[#This Row],[calc available]]-correct_ratio_df__2[[#This Row],[clac stable]]</f>
        <v>0</v>
      </c>
    </row>
    <row r="113" spans="1:14" x14ac:dyDescent="0.2">
      <c r="A113">
        <v>111</v>
      </c>
      <c r="B113" s="2" t="s">
        <v>72</v>
      </c>
      <c r="C113" s="2" t="s">
        <v>19</v>
      </c>
      <c r="D113" s="2" t="s">
        <v>17</v>
      </c>
      <c r="E113" s="2" t="s">
        <v>11</v>
      </c>
      <c r="F113" s="2" t="s">
        <v>25</v>
      </c>
      <c r="G113">
        <v>1</v>
      </c>
      <c r="H113" s="2" t="s">
        <v>13</v>
      </c>
      <c r="I113" s="2" t="s">
        <v>86</v>
      </c>
      <c r="L113" s="2">
        <f>N(correct_ratio_df__2[[#This Row],[correct_ratio]]&gt;0)</f>
        <v>1</v>
      </c>
      <c r="M113" s="2">
        <f>N(correct_ratio_df__2[[#This Row],[correct_ratio]]=1)</f>
        <v>1</v>
      </c>
      <c r="N113" s="2">
        <f>correct_ratio_df__2[[#This Row],[calc available]]-correct_ratio_df__2[[#This Row],[clac stable]]</f>
        <v>0</v>
      </c>
    </row>
    <row r="114" spans="1:14" x14ac:dyDescent="0.2">
      <c r="A114">
        <v>112</v>
      </c>
      <c r="B114" s="2" t="s">
        <v>73</v>
      </c>
      <c r="C114" s="2" t="s">
        <v>16</v>
      </c>
      <c r="D114" s="2" t="s">
        <v>17</v>
      </c>
      <c r="E114" s="2" t="s">
        <v>11</v>
      </c>
      <c r="F114" s="2" t="s">
        <v>25</v>
      </c>
      <c r="G114">
        <v>1</v>
      </c>
      <c r="H114" s="2" t="s">
        <v>13</v>
      </c>
      <c r="I114" s="2" t="s">
        <v>86</v>
      </c>
      <c r="L114" s="2">
        <f>N(correct_ratio_df__2[[#This Row],[correct_ratio]]&gt;0)</f>
        <v>1</v>
      </c>
      <c r="M114" s="2">
        <f>N(correct_ratio_df__2[[#This Row],[correct_ratio]]=1)</f>
        <v>1</v>
      </c>
      <c r="N114" s="2">
        <f>correct_ratio_df__2[[#This Row],[calc available]]-correct_ratio_df__2[[#This Row],[clac stable]]</f>
        <v>0</v>
      </c>
    </row>
    <row r="115" spans="1:14" x14ac:dyDescent="0.2">
      <c r="A115">
        <v>113</v>
      </c>
      <c r="B115" s="2" t="s">
        <v>74</v>
      </c>
      <c r="C115" s="2" t="s">
        <v>22</v>
      </c>
      <c r="D115" s="2" t="s">
        <v>17</v>
      </c>
      <c r="E115" s="2" t="s">
        <v>21</v>
      </c>
      <c r="F115" s="2" t="s">
        <v>25</v>
      </c>
      <c r="G115">
        <v>1</v>
      </c>
      <c r="H115" s="2" t="s">
        <v>13</v>
      </c>
      <c r="I115" s="2" t="s">
        <v>86</v>
      </c>
      <c r="L115" s="2">
        <f>N(correct_ratio_df__2[[#This Row],[correct_ratio]]&gt;0)</f>
        <v>1</v>
      </c>
      <c r="M115" s="2">
        <f>N(correct_ratio_df__2[[#This Row],[correct_ratio]]=1)</f>
        <v>1</v>
      </c>
      <c r="N115" s="2">
        <f>correct_ratio_df__2[[#This Row],[calc available]]-correct_ratio_df__2[[#This Row],[clac stable]]</f>
        <v>0</v>
      </c>
    </row>
    <row r="116" spans="1:14" x14ac:dyDescent="0.2">
      <c r="A116">
        <v>114</v>
      </c>
      <c r="B116" s="2" t="s">
        <v>75</v>
      </c>
      <c r="C116" s="2" t="s">
        <v>14</v>
      </c>
      <c r="D116" s="2" t="s">
        <v>17</v>
      </c>
      <c r="E116" s="2" t="s">
        <v>21</v>
      </c>
      <c r="F116" s="2" t="s">
        <v>25</v>
      </c>
      <c r="G116">
        <v>1</v>
      </c>
      <c r="H116" s="2" t="s">
        <v>13</v>
      </c>
      <c r="I116" s="2" t="s">
        <v>86</v>
      </c>
      <c r="L116" s="2">
        <f>N(correct_ratio_df__2[[#This Row],[correct_ratio]]&gt;0)</f>
        <v>1</v>
      </c>
      <c r="M116" s="2">
        <f>N(correct_ratio_df__2[[#This Row],[correct_ratio]]=1)</f>
        <v>1</v>
      </c>
      <c r="N116" s="2">
        <f>correct_ratio_df__2[[#This Row],[calc available]]-correct_ratio_df__2[[#This Row],[clac stable]]</f>
        <v>0</v>
      </c>
    </row>
    <row r="117" spans="1:14" x14ac:dyDescent="0.2">
      <c r="A117">
        <v>115</v>
      </c>
      <c r="B117" s="2" t="s">
        <v>76</v>
      </c>
      <c r="C117" s="2" t="s">
        <v>14</v>
      </c>
      <c r="D117" s="2" t="s">
        <v>10</v>
      </c>
      <c r="E117" s="2" t="s">
        <v>21</v>
      </c>
      <c r="F117" s="2" t="s">
        <v>25</v>
      </c>
      <c r="G117">
        <v>1</v>
      </c>
      <c r="H117" s="2" t="s">
        <v>13</v>
      </c>
      <c r="I117" s="2" t="s">
        <v>86</v>
      </c>
      <c r="L117" s="2">
        <f>N(correct_ratio_df__2[[#This Row],[correct_ratio]]&gt;0)</f>
        <v>1</v>
      </c>
      <c r="M117" s="2">
        <f>N(correct_ratio_df__2[[#This Row],[correct_ratio]]=1)</f>
        <v>1</v>
      </c>
      <c r="N117" s="2">
        <f>correct_ratio_df__2[[#This Row],[calc available]]-correct_ratio_df__2[[#This Row],[clac stable]]</f>
        <v>0</v>
      </c>
    </row>
    <row r="118" spans="1:14" x14ac:dyDescent="0.2">
      <c r="A118">
        <v>116</v>
      </c>
      <c r="B118" s="2" t="s">
        <v>77</v>
      </c>
      <c r="C118" s="2" t="s">
        <v>9</v>
      </c>
      <c r="D118" s="2" t="s">
        <v>17</v>
      </c>
      <c r="E118" s="2" t="s">
        <v>15</v>
      </c>
      <c r="F118" s="2" t="s">
        <v>25</v>
      </c>
      <c r="G118">
        <v>1</v>
      </c>
      <c r="H118" s="2" t="s">
        <v>13</v>
      </c>
      <c r="I118" s="2" t="s">
        <v>86</v>
      </c>
      <c r="L118" s="2">
        <f>N(correct_ratio_df__2[[#This Row],[correct_ratio]]&gt;0)</f>
        <v>1</v>
      </c>
      <c r="M118" s="2">
        <f>N(correct_ratio_df__2[[#This Row],[correct_ratio]]=1)</f>
        <v>1</v>
      </c>
      <c r="N118" s="2">
        <f>correct_ratio_df__2[[#This Row],[calc available]]-correct_ratio_df__2[[#This Row],[clac stable]]</f>
        <v>0</v>
      </c>
    </row>
    <row r="119" spans="1:14" x14ac:dyDescent="0.2">
      <c r="A119">
        <v>117</v>
      </c>
      <c r="B119" s="2" t="s">
        <v>78</v>
      </c>
      <c r="C119" s="2" t="s">
        <v>9</v>
      </c>
      <c r="D119" s="2" t="s">
        <v>17</v>
      </c>
      <c r="E119" s="2" t="s">
        <v>21</v>
      </c>
      <c r="F119" s="2" t="s">
        <v>25</v>
      </c>
      <c r="G119">
        <v>1</v>
      </c>
      <c r="H119" s="2" t="s">
        <v>13</v>
      </c>
      <c r="I119" s="2" t="s">
        <v>86</v>
      </c>
      <c r="L119" s="2">
        <f>N(correct_ratio_df__2[[#This Row],[correct_ratio]]&gt;0)</f>
        <v>1</v>
      </c>
      <c r="M119" s="2">
        <f>N(correct_ratio_df__2[[#This Row],[correct_ratio]]=1)</f>
        <v>1</v>
      </c>
      <c r="N119" s="2">
        <f>correct_ratio_df__2[[#This Row],[calc available]]-correct_ratio_df__2[[#This Row],[clac stable]]</f>
        <v>0</v>
      </c>
    </row>
    <row r="120" spans="1:14" x14ac:dyDescent="0.2">
      <c r="A120">
        <v>118</v>
      </c>
      <c r="B120" s="2" t="s">
        <v>79</v>
      </c>
      <c r="C120" s="2" t="s">
        <v>14</v>
      </c>
      <c r="D120" s="2" t="s">
        <v>17</v>
      </c>
      <c r="E120" s="2" t="s">
        <v>11</v>
      </c>
      <c r="F120" s="2" t="s">
        <v>25</v>
      </c>
      <c r="G120">
        <v>1</v>
      </c>
      <c r="H120" s="2" t="s">
        <v>13</v>
      </c>
      <c r="I120" s="2" t="s">
        <v>86</v>
      </c>
      <c r="L120" s="2">
        <f>N(correct_ratio_df__2[[#This Row],[correct_ratio]]&gt;0)</f>
        <v>1</v>
      </c>
      <c r="M120" s="2">
        <f>N(correct_ratio_df__2[[#This Row],[correct_ratio]]=1)</f>
        <v>1</v>
      </c>
      <c r="N120" s="2">
        <f>correct_ratio_df__2[[#This Row],[calc available]]-correct_ratio_df__2[[#This Row],[clac stable]]</f>
        <v>0</v>
      </c>
    </row>
    <row r="121" spans="1:14" x14ac:dyDescent="0.2">
      <c r="A121">
        <v>119</v>
      </c>
      <c r="B121" s="2" t="s">
        <v>80</v>
      </c>
      <c r="C121" s="2" t="s">
        <v>22</v>
      </c>
      <c r="D121" s="2" t="s">
        <v>20</v>
      </c>
      <c r="E121" s="2" t="s">
        <v>11</v>
      </c>
      <c r="F121" s="2" t="s">
        <v>25</v>
      </c>
      <c r="G121">
        <v>0.33333333333333331</v>
      </c>
      <c r="H121" s="2" t="s">
        <v>13</v>
      </c>
      <c r="I121" s="2" t="s">
        <v>86</v>
      </c>
      <c r="L121" s="2">
        <f>N(correct_ratio_df__2[[#This Row],[correct_ratio]]&gt;0)</f>
        <v>1</v>
      </c>
      <c r="M121" s="2">
        <f>N(correct_ratio_df__2[[#This Row],[correct_ratio]]=1)</f>
        <v>0</v>
      </c>
      <c r="N121" s="2">
        <f>correct_ratio_df__2[[#This Row],[calc available]]-correct_ratio_df__2[[#This Row],[clac stable]]</f>
        <v>1</v>
      </c>
    </row>
    <row r="122" spans="1:14" x14ac:dyDescent="0.2">
      <c r="A122">
        <v>120</v>
      </c>
      <c r="B122" s="2" t="s">
        <v>41</v>
      </c>
      <c r="C122" s="2" t="s">
        <v>9</v>
      </c>
      <c r="D122" s="2" t="s">
        <v>10</v>
      </c>
      <c r="E122" s="2" t="s">
        <v>11</v>
      </c>
      <c r="F122" s="2" t="s">
        <v>81</v>
      </c>
      <c r="G122">
        <v>1</v>
      </c>
      <c r="H122" s="2" t="s">
        <v>30</v>
      </c>
      <c r="I122" s="2" t="s">
        <v>90</v>
      </c>
      <c r="L122" s="2">
        <f>N(correct_ratio_df__2[[#This Row],[correct_ratio]]&gt;0)</f>
        <v>1</v>
      </c>
      <c r="M122" s="2">
        <f>N(correct_ratio_df__2[[#This Row],[correct_ratio]]=1)</f>
        <v>1</v>
      </c>
      <c r="N122" s="2">
        <f>correct_ratio_df__2[[#This Row],[calc available]]-correct_ratio_df__2[[#This Row],[clac stable]]</f>
        <v>0</v>
      </c>
    </row>
    <row r="123" spans="1:14" x14ac:dyDescent="0.2">
      <c r="A123">
        <v>121</v>
      </c>
      <c r="B123" s="2" t="s">
        <v>42</v>
      </c>
      <c r="C123" s="2" t="s">
        <v>14</v>
      </c>
      <c r="D123" s="2" t="s">
        <v>10</v>
      </c>
      <c r="E123" s="2" t="s">
        <v>15</v>
      </c>
      <c r="F123" s="2" t="s">
        <v>81</v>
      </c>
      <c r="G123">
        <v>1</v>
      </c>
      <c r="H123" s="2" t="s">
        <v>30</v>
      </c>
      <c r="I123" s="2" t="s">
        <v>90</v>
      </c>
      <c r="L123" s="2">
        <f>N(correct_ratio_df__2[[#This Row],[correct_ratio]]&gt;0)</f>
        <v>1</v>
      </c>
      <c r="M123" s="2">
        <f>N(correct_ratio_df__2[[#This Row],[correct_ratio]]=1)</f>
        <v>1</v>
      </c>
      <c r="N123" s="2">
        <f>correct_ratio_df__2[[#This Row],[calc available]]-correct_ratio_df__2[[#This Row],[clac stable]]</f>
        <v>0</v>
      </c>
    </row>
    <row r="124" spans="1:14" x14ac:dyDescent="0.2">
      <c r="A124">
        <v>122</v>
      </c>
      <c r="B124" s="2" t="s">
        <v>43</v>
      </c>
      <c r="C124" s="2" t="s">
        <v>16</v>
      </c>
      <c r="D124" s="2" t="s">
        <v>17</v>
      </c>
      <c r="E124" s="2" t="s">
        <v>11</v>
      </c>
      <c r="F124" s="2" t="s">
        <v>81</v>
      </c>
      <c r="G124">
        <v>1</v>
      </c>
      <c r="H124" s="2" t="s">
        <v>30</v>
      </c>
      <c r="I124" s="2" t="s">
        <v>90</v>
      </c>
      <c r="L124" s="2">
        <f>N(correct_ratio_df__2[[#This Row],[correct_ratio]]&gt;0)</f>
        <v>1</v>
      </c>
      <c r="M124" s="2">
        <f>N(correct_ratio_df__2[[#This Row],[correct_ratio]]=1)</f>
        <v>1</v>
      </c>
      <c r="N124" s="2">
        <f>correct_ratio_df__2[[#This Row],[calc available]]-correct_ratio_df__2[[#This Row],[clac stable]]</f>
        <v>0</v>
      </c>
    </row>
    <row r="125" spans="1:14" x14ac:dyDescent="0.2">
      <c r="A125">
        <v>123</v>
      </c>
      <c r="B125" s="2" t="s">
        <v>44</v>
      </c>
      <c r="C125" s="2" t="s">
        <v>16</v>
      </c>
      <c r="D125" s="2" t="s">
        <v>10</v>
      </c>
      <c r="E125" s="2" t="s">
        <v>15</v>
      </c>
      <c r="F125" s="2" t="s">
        <v>81</v>
      </c>
      <c r="G125">
        <v>0.66666666666666663</v>
      </c>
      <c r="H125" s="2" t="s">
        <v>30</v>
      </c>
      <c r="I125" s="2" t="s">
        <v>90</v>
      </c>
      <c r="L125" s="2">
        <f>N(correct_ratio_df__2[[#This Row],[correct_ratio]]&gt;0)</f>
        <v>1</v>
      </c>
      <c r="M125" s="2">
        <f>N(correct_ratio_df__2[[#This Row],[correct_ratio]]=1)</f>
        <v>0</v>
      </c>
      <c r="N125" s="2">
        <f>correct_ratio_df__2[[#This Row],[calc available]]-correct_ratio_df__2[[#This Row],[clac stable]]</f>
        <v>1</v>
      </c>
    </row>
    <row r="126" spans="1:14" x14ac:dyDescent="0.2">
      <c r="A126">
        <v>124</v>
      </c>
      <c r="B126" s="2" t="s">
        <v>45</v>
      </c>
      <c r="C126" s="2" t="s">
        <v>14</v>
      </c>
      <c r="D126" s="2" t="s">
        <v>18</v>
      </c>
      <c r="E126" s="2" t="s">
        <v>15</v>
      </c>
      <c r="F126" s="2" t="s">
        <v>81</v>
      </c>
      <c r="G126">
        <v>1</v>
      </c>
      <c r="H126" s="2" t="s">
        <v>30</v>
      </c>
      <c r="I126" s="2" t="s">
        <v>90</v>
      </c>
      <c r="L126" s="2">
        <f>N(correct_ratio_df__2[[#This Row],[correct_ratio]]&gt;0)</f>
        <v>1</v>
      </c>
      <c r="M126" s="2">
        <f>N(correct_ratio_df__2[[#This Row],[correct_ratio]]=1)</f>
        <v>1</v>
      </c>
      <c r="N126" s="2">
        <f>correct_ratio_df__2[[#This Row],[calc available]]-correct_ratio_df__2[[#This Row],[clac stable]]</f>
        <v>0</v>
      </c>
    </row>
    <row r="127" spans="1:14" x14ac:dyDescent="0.2">
      <c r="A127">
        <v>125</v>
      </c>
      <c r="B127" s="2" t="s">
        <v>46</v>
      </c>
      <c r="C127" s="2" t="s">
        <v>14</v>
      </c>
      <c r="D127" s="2" t="s">
        <v>10</v>
      </c>
      <c r="E127" s="2" t="s">
        <v>15</v>
      </c>
      <c r="F127" s="2" t="s">
        <v>81</v>
      </c>
      <c r="G127">
        <v>0</v>
      </c>
      <c r="H127" s="2" t="s">
        <v>30</v>
      </c>
      <c r="I127" s="2" t="s">
        <v>90</v>
      </c>
      <c r="L127" s="2">
        <f>N(correct_ratio_df__2[[#This Row],[correct_ratio]]&gt;0)</f>
        <v>0</v>
      </c>
      <c r="M127" s="2">
        <f>N(correct_ratio_df__2[[#This Row],[correct_ratio]]=1)</f>
        <v>0</v>
      </c>
      <c r="N127" s="2">
        <f>correct_ratio_df__2[[#This Row],[calc available]]-correct_ratio_df__2[[#This Row],[clac stable]]</f>
        <v>0</v>
      </c>
    </row>
    <row r="128" spans="1:14" x14ac:dyDescent="0.2">
      <c r="A128">
        <v>126</v>
      </c>
      <c r="B128" s="2" t="s">
        <v>47</v>
      </c>
      <c r="C128" s="2" t="s">
        <v>19</v>
      </c>
      <c r="D128" s="2" t="s">
        <v>10</v>
      </c>
      <c r="E128" s="2" t="s">
        <v>15</v>
      </c>
      <c r="F128" s="2" t="s">
        <v>81</v>
      </c>
      <c r="G128">
        <v>1</v>
      </c>
      <c r="H128" s="2" t="s">
        <v>30</v>
      </c>
      <c r="I128" s="2" t="s">
        <v>90</v>
      </c>
      <c r="L128" s="2">
        <f>N(correct_ratio_df__2[[#This Row],[correct_ratio]]&gt;0)</f>
        <v>1</v>
      </c>
      <c r="M128" s="2">
        <f>N(correct_ratio_df__2[[#This Row],[correct_ratio]]=1)</f>
        <v>1</v>
      </c>
      <c r="N128" s="2">
        <f>correct_ratio_df__2[[#This Row],[calc available]]-correct_ratio_df__2[[#This Row],[clac stable]]</f>
        <v>0</v>
      </c>
    </row>
    <row r="129" spans="1:14" x14ac:dyDescent="0.2">
      <c r="A129">
        <v>127</v>
      </c>
      <c r="B129" s="2" t="s">
        <v>48</v>
      </c>
      <c r="C129" s="2" t="s">
        <v>16</v>
      </c>
      <c r="D129" s="2" t="s">
        <v>20</v>
      </c>
      <c r="E129" s="2" t="s">
        <v>21</v>
      </c>
      <c r="F129" s="2" t="s">
        <v>81</v>
      </c>
      <c r="G129">
        <v>0.33333333333333331</v>
      </c>
      <c r="H129" s="2" t="s">
        <v>30</v>
      </c>
      <c r="I129" s="2" t="s">
        <v>90</v>
      </c>
      <c r="L129" s="2">
        <f>N(correct_ratio_df__2[[#This Row],[correct_ratio]]&gt;0)</f>
        <v>1</v>
      </c>
      <c r="M129" s="2">
        <f>N(correct_ratio_df__2[[#This Row],[correct_ratio]]=1)</f>
        <v>0</v>
      </c>
      <c r="N129" s="2">
        <f>correct_ratio_df__2[[#This Row],[calc available]]-correct_ratio_df__2[[#This Row],[clac stable]]</f>
        <v>1</v>
      </c>
    </row>
    <row r="130" spans="1:14" x14ac:dyDescent="0.2">
      <c r="A130">
        <v>128</v>
      </c>
      <c r="B130" s="2" t="s">
        <v>49</v>
      </c>
      <c r="C130" s="2" t="s">
        <v>16</v>
      </c>
      <c r="D130" s="2" t="s">
        <v>10</v>
      </c>
      <c r="E130" s="2" t="s">
        <v>21</v>
      </c>
      <c r="F130" s="2" t="s">
        <v>81</v>
      </c>
      <c r="G130">
        <v>0.66666666666666663</v>
      </c>
      <c r="H130" s="2" t="s">
        <v>30</v>
      </c>
      <c r="I130" s="2" t="s">
        <v>90</v>
      </c>
      <c r="L130" s="2">
        <f>N(correct_ratio_df__2[[#This Row],[correct_ratio]]&gt;0)</f>
        <v>1</v>
      </c>
      <c r="M130" s="2">
        <f>N(correct_ratio_df__2[[#This Row],[correct_ratio]]=1)</f>
        <v>0</v>
      </c>
      <c r="N130" s="2">
        <f>correct_ratio_df__2[[#This Row],[calc available]]-correct_ratio_df__2[[#This Row],[clac stable]]</f>
        <v>1</v>
      </c>
    </row>
    <row r="131" spans="1:14" x14ac:dyDescent="0.2">
      <c r="A131">
        <v>129</v>
      </c>
      <c r="B131" s="2" t="s">
        <v>50</v>
      </c>
      <c r="C131" s="2" t="s">
        <v>9</v>
      </c>
      <c r="D131" s="2" t="s">
        <v>17</v>
      </c>
      <c r="E131" s="2" t="s">
        <v>21</v>
      </c>
      <c r="F131" s="2" t="s">
        <v>81</v>
      </c>
      <c r="G131">
        <v>0</v>
      </c>
      <c r="H131" s="2" t="s">
        <v>30</v>
      </c>
      <c r="I131" s="2" t="s">
        <v>90</v>
      </c>
      <c r="L131" s="2">
        <f>N(correct_ratio_df__2[[#This Row],[correct_ratio]]&gt;0)</f>
        <v>0</v>
      </c>
      <c r="M131" s="2">
        <f>N(correct_ratio_df__2[[#This Row],[correct_ratio]]=1)</f>
        <v>0</v>
      </c>
      <c r="N131" s="2">
        <f>correct_ratio_df__2[[#This Row],[calc available]]-correct_ratio_df__2[[#This Row],[clac stable]]</f>
        <v>0</v>
      </c>
    </row>
    <row r="132" spans="1:14" x14ac:dyDescent="0.2">
      <c r="A132">
        <v>130</v>
      </c>
      <c r="B132" s="2" t="s">
        <v>51</v>
      </c>
      <c r="C132" s="2" t="s">
        <v>16</v>
      </c>
      <c r="D132" s="2" t="s">
        <v>17</v>
      </c>
      <c r="E132" s="2" t="s">
        <v>11</v>
      </c>
      <c r="F132" s="2" t="s">
        <v>81</v>
      </c>
      <c r="G132">
        <v>0.66666666666666663</v>
      </c>
      <c r="H132" s="2" t="s">
        <v>30</v>
      </c>
      <c r="I132" s="2" t="s">
        <v>90</v>
      </c>
      <c r="L132" s="2">
        <f>N(correct_ratio_df__2[[#This Row],[correct_ratio]]&gt;0)</f>
        <v>1</v>
      </c>
      <c r="M132" s="2">
        <f>N(correct_ratio_df__2[[#This Row],[correct_ratio]]=1)</f>
        <v>0</v>
      </c>
      <c r="N132" s="2">
        <f>correct_ratio_df__2[[#This Row],[calc available]]-correct_ratio_df__2[[#This Row],[clac stable]]</f>
        <v>1</v>
      </c>
    </row>
    <row r="133" spans="1:14" x14ac:dyDescent="0.2">
      <c r="A133">
        <v>131</v>
      </c>
      <c r="B133" s="2" t="s">
        <v>52</v>
      </c>
      <c r="C133" s="2" t="s">
        <v>9</v>
      </c>
      <c r="D133" s="2" t="s">
        <v>17</v>
      </c>
      <c r="E133" s="2" t="s">
        <v>15</v>
      </c>
      <c r="F133" s="2" t="s">
        <v>81</v>
      </c>
      <c r="G133">
        <v>1</v>
      </c>
      <c r="H133" s="2" t="s">
        <v>30</v>
      </c>
      <c r="I133" s="2" t="s">
        <v>90</v>
      </c>
      <c r="L133" s="2">
        <f>N(correct_ratio_df__2[[#This Row],[correct_ratio]]&gt;0)</f>
        <v>1</v>
      </c>
      <c r="M133" s="2">
        <f>N(correct_ratio_df__2[[#This Row],[correct_ratio]]=1)</f>
        <v>1</v>
      </c>
      <c r="N133" s="2">
        <f>correct_ratio_df__2[[#This Row],[calc available]]-correct_ratio_df__2[[#This Row],[clac stable]]</f>
        <v>0</v>
      </c>
    </row>
    <row r="134" spans="1:14" x14ac:dyDescent="0.2">
      <c r="A134">
        <v>132</v>
      </c>
      <c r="B134" s="2" t="s">
        <v>53</v>
      </c>
      <c r="C134" s="2" t="s">
        <v>19</v>
      </c>
      <c r="D134" s="2" t="s">
        <v>17</v>
      </c>
      <c r="E134" s="2" t="s">
        <v>21</v>
      </c>
      <c r="F134" s="2" t="s">
        <v>81</v>
      </c>
      <c r="G134">
        <v>1</v>
      </c>
      <c r="H134" s="2" t="s">
        <v>30</v>
      </c>
      <c r="I134" s="2" t="s">
        <v>90</v>
      </c>
      <c r="L134" s="2">
        <f>N(correct_ratio_df__2[[#This Row],[correct_ratio]]&gt;0)</f>
        <v>1</v>
      </c>
      <c r="M134" s="2">
        <f>N(correct_ratio_df__2[[#This Row],[correct_ratio]]=1)</f>
        <v>1</v>
      </c>
      <c r="N134" s="2">
        <f>correct_ratio_df__2[[#This Row],[calc available]]-correct_ratio_df__2[[#This Row],[clac stable]]</f>
        <v>0</v>
      </c>
    </row>
    <row r="135" spans="1:14" x14ac:dyDescent="0.2">
      <c r="A135">
        <v>133</v>
      </c>
      <c r="B135" s="2" t="s">
        <v>54</v>
      </c>
      <c r="C135" s="2" t="s">
        <v>14</v>
      </c>
      <c r="D135" s="2" t="s">
        <v>17</v>
      </c>
      <c r="E135" s="2" t="s">
        <v>15</v>
      </c>
      <c r="F135" s="2" t="s">
        <v>81</v>
      </c>
      <c r="G135">
        <v>1</v>
      </c>
      <c r="H135" s="2" t="s">
        <v>30</v>
      </c>
      <c r="I135" s="2" t="s">
        <v>90</v>
      </c>
      <c r="L135" s="2">
        <f>N(correct_ratio_df__2[[#This Row],[correct_ratio]]&gt;0)</f>
        <v>1</v>
      </c>
      <c r="M135" s="2">
        <f>N(correct_ratio_df__2[[#This Row],[correct_ratio]]=1)</f>
        <v>1</v>
      </c>
      <c r="N135" s="2">
        <f>correct_ratio_df__2[[#This Row],[calc available]]-correct_ratio_df__2[[#This Row],[clac stable]]</f>
        <v>0</v>
      </c>
    </row>
    <row r="136" spans="1:14" x14ac:dyDescent="0.2">
      <c r="A136">
        <v>134</v>
      </c>
      <c r="B136" s="2" t="s">
        <v>55</v>
      </c>
      <c r="C136" s="2" t="s">
        <v>9</v>
      </c>
      <c r="D136" s="2" t="s">
        <v>18</v>
      </c>
      <c r="E136" s="2" t="s">
        <v>21</v>
      </c>
      <c r="F136" s="2" t="s">
        <v>81</v>
      </c>
      <c r="G136">
        <v>1</v>
      </c>
      <c r="H136" s="2" t="s">
        <v>30</v>
      </c>
      <c r="I136" s="2" t="s">
        <v>90</v>
      </c>
      <c r="L136" s="2">
        <f>N(correct_ratio_df__2[[#This Row],[correct_ratio]]&gt;0)</f>
        <v>1</v>
      </c>
      <c r="M136" s="2">
        <f>N(correct_ratio_df__2[[#This Row],[correct_ratio]]=1)</f>
        <v>1</v>
      </c>
      <c r="N136" s="2">
        <f>correct_ratio_df__2[[#This Row],[calc available]]-correct_ratio_df__2[[#This Row],[clac stable]]</f>
        <v>0</v>
      </c>
    </row>
    <row r="137" spans="1:14" x14ac:dyDescent="0.2">
      <c r="A137">
        <v>135</v>
      </c>
      <c r="B137" s="2" t="s">
        <v>56</v>
      </c>
      <c r="C137" s="2" t="s">
        <v>19</v>
      </c>
      <c r="D137" s="2" t="s">
        <v>17</v>
      </c>
      <c r="E137" s="2" t="s">
        <v>21</v>
      </c>
      <c r="F137" s="2" t="s">
        <v>81</v>
      </c>
      <c r="G137">
        <v>0</v>
      </c>
      <c r="H137" s="2" t="s">
        <v>30</v>
      </c>
      <c r="I137" s="2" t="s">
        <v>90</v>
      </c>
      <c r="L137" s="2">
        <f>N(correct_ratio_df__2[[#This Row],[correct_ratio]]&gt;0)</f>
        <v>0</v>
      </c>
      <c r="M137" s="2">
        <f>N(correct_ratio_df__2[[#This Row],[correct_ratio]]=1)</f>
        <v>0</v>
      </c>
      <c r="N137" s="2">
        <f>correct_ratio_df__2[[#This Row],[calc available]]-correct_ratio_df__2[[#This Row],[clac stable]]</f>
        <v>0</v>
      </c>
    </row>
    <row r="138" spans="1:14" x14ac:dyDescent="0.2">
      <c r="A138">
        <v>136</v>
      </c>
      <c r="B138" s="2" t="s">
        <v>57</v>
      </c>
      <c r="C138" s="2" t="s">
        <v>9</v>
      </c>
      <c r="D138" s="2" t="s">
        <v>17</v>
      </c>
      <c r="E138" s="2" t="s">
        <v>21</v>
      </c>
      <c r="F138" s="2" t="s">
        <v>81</v>
      </c>
      <c r="G138">
        <v>1</v>
      </c>
      <c r="H138" s="2" t="s">
        <v>30</v>
      </c>
      <c r="I138" s="2" t="s">
        <v>90</v>
      </c>
      <c r="L138" s="2">
        <f>N(correct_ratio_df__2[[#This Row],[correct_ratio]]&gt;0)</f>
        <v>1</v>
      </c>
      <c r="M138" s="2">
        <f>N(correct_ratio_df__2[[#This Row],[correct_ratio]]=1)</f>
        <v>1</v>
      </c>
      <c r="N138" s="2">
        <f>correct_ratio_df__2[[#This Row],[calc available]]-correct_ratio_df__2[[#This Row],[clac stable]]</f>
        <v>0</v>
      </c>
    </row>
    <row r="139" spans="1:14" x14ac:dyDescent="0.2">
      <c r="A139">
        <v>137</v>
      </c>
      <c r="B139" s="2" t="s">
        <v>58</v>
      </c>
      <c r="C139" s="2" t="s">
        <v>9</v>
      </c>
      <c r="D139" s="2" t="s">
        <v>17</v>
      </c>
      <c r="E139" s="2" t="s">
        <v>21</v>
      </c>
      <c r="F139" s="2" t="s">
        <v>81</v>
      </c>
      <c r="G139">
        <v>0</v>
      </c>
      <c r="H139" s="2" t="s">
        <v>30</v>
      </c>
      <c r="I139" s="2" t="s">
        <v>90</v>
      </c>
      <c r="L139" s="2">
        <f>N(correct_ratio_df__2[[#This Row],[correct_ratio]]&gt;0)</f>
        <v>0</v>
      </c>
      <c r="M139" s="2">
        <f>N(correct_ratio_df__2[[#This Row],[correct_ratio]]=1)</f>
        <v>0</v>
      </c>
      <c r="N139" s="2">
        <f>correct_ratio_df__2[[#This Row],[calc available]]-correct_ratio_df__2[[#This Row],[clac stable]]</f>
        <v>0</v>
      </c>
    </row>
    <row r="140" spans="1:14" x14ac:dyDescent="0.2">
      <c r="A140">
        <v>138</v>
      </c>
      <c r="B140" s="2" t="s">
        <v>59</v>
      </c>
      <c r="C140" s="2" t="s">
        <v>19</v>
      </c>
      <c r="D140" s="2" t="s">
        <v>17</v>
      </c>
      <c r="E140" s="2" t="s">
        <v>15</v>
      </c>
      <c r="F140" s="2" t="s">
        <v>81</v>
      </c>
      <c r="G140">
        <v>0.66666666666666663</v>
      </c>
      <c r="H140" s="2" t="s">
        <v>30</v>
      </c>
      <c r="I140" s="2" t="s">
        <v>90</v>
      </c>
      <c r="L140" s="2">
        <f>N(correct_ratio_df__2[[#This Row],[correct_ratio]]&gt;0)</f>
        <v>1</v>
      </c>
      <c r="M140" s="2">
        <f>N(correct_ratio_df__2[[#This Row],[correct_ratio]]=1)</f>
        <v>0</v>
      </c>
      <c r="N140" s="2">
        <f>correct_ratio_df__2[[#This Row],[calc available]]-correct_ratio_df__2[[#This Row],[clac stable]]</f>
        <v>1</v>
      </c>
    </row>
    <row r="141" spans="1:14" x14ac:dyDescent="0.2">
      <c r="A141">
        <v>139</v>
      </c>
      <c r="B141" s="2" t="s">
        <v>60</v>
      </c>
      <c r="C141" s="2" t="s">
        <v>9</v>
      </c>
      <c r="D141" s="2" t="s">
        <v>17</v>
      </c>
      <c r="E141" s="2" t="s">
        <v>21</v>
      </c>
      <c r="F141" s="2" t="s">
        <v>81</v>
      </c>
      <c r="G141">
        <v>0.33333333333333331</v>
      </c>
      <c r="H141" s="2" t="s">
        <v>30</v>
      </c>
      <c r="I141" s="2" t="s">
        <v>90</v>
      </c>
      <c r="L141" s="2">
        <f>N(correct_ratio_df__2[[#This Row],[correct_ratio]]&gt;0)</f>
        <v>1</v>
      </c>
      <c r="M141" s="2">
        <f>N(correct_ratio_df__2[[#This Row],[correct_ratio]]=1)</f>
        <v>0</v>
      </c>
      <c r="N141" s="2">
        <f>correct_ratio_df__2[[#This Row],[calc available]]-correct_ratio_df__2[[#This Row],[clac stable]]</f>
        <v>1</v>
      </c>
    </row>
    <row r="142" spans="1:14" x14ac:dyDescent="0.2">
      <c r="A142">
        <v>140</v>
      </c>
      <c r="B142" s="2" t="s">
        <v>61</v>
      </c>
      <c r="C142" s="2" t="s">
        <v>14</v>
      </c>
      <c r="D142" s="2" t="s">
        <v>10</v>
      </c>
      <c r="E142" s="2" t="s">
        <v>11</v>
      </c>
      <c r="F142" s="2" t="s">
        <v>81</v>
      </c>
      <c r="G142">
        <v>1</v>
      </c>
      <c r="H142" s="2" t="s">
        <v>30</v>
      </c>
      <c r="I142" s="2" t="s">
        <v>90</v>
      </c>
      <c r="L142" s="2">
        <f>N(correct_ratio_df__2[[#This Row],[correct_ratio]]&gt;0)</f>
        <v>1</v>
      </c>
      <c r="M142" s="2">
        <f>N(correct_ratio_df__2[[#This Row],[correct_ratio]]=1)</f>
        <v>1</v>
      </c>
      <c r="N142" s="2">
        <f>correct_ratio_df__2[[#This Row],[calc available]]-correct_ratio_df__2[[#This Row],[clac stable]]</f>
        <v>0</v>
      </c>
    </row>
    <row r="143" spans="1:14" x14ac:dyDescent="0.2">
      <c r="A143">
        <v>141</v>
      </c>
      <c r="B143" s="2" t="s">
        <v>62</v>
      </c>
      <c r="C143" s="2" t="s">
        <v>16</v>
      </c>
      <c r="D143" s="2" t="s">
        <v>18</v>
      </c>
      <c r="E143" s="2" t="s">
        <v>11</v>
      </c>
      <c r="F143" s="2" t="s">
        <v>81</v>
      </c>
      <c r="G143">
        <v>1</v>
      </c>
      <c r="H143" s="2" t="s">
        <v>30</v>
      </c>
      <c r="I143" s="2" t="s">
        <v>90</v>
      </c>
      <c r="L143" s="2">
        <f>N(correct_ratio_df__2[[#This Row],[correct_ratio]]&gt;0)</f>
        <v>1</v>
      </c>
      <c r="M143" s="2">
        <f>N(correct_ratio_df__2[[#This Row],[correct_ratio]]=1)</f>
        <v>1</v>
      </c>
      <c r="N143" s="2">
        <f>correct_ratio_df__2[[#This Row],[calc available]]-correct_ratio_df__2[[#This Row],[clac stable]]</f>
        <v>0</v>
      </c>
    </row>
    <row r="144" spans="1:14" x14ac:dyDescent="0.2">
      <c r="A144">
        <v>142</v>
      </c>
      <c r="B144" s="2" t="s">
        <v>63</v>
      </c>
      <c r="C144" s="2" t="s">
        <v>9</v>
      </c>
      <c r="D144" s="2" t="s">
        <v>20</v>
      </c>
      <c r="E144" s="2" t="s">
        <v>15</v>
      </c>
      <c r="F144" s="2" t="s">
        <v>81</v>
      </c>
      <c r="G144">
        <v>1</v>
      </c>
      <c r="H144" s="2" t="s">
        <v>30</v>
      </c>
      <c r="I144" s="2" t="s">
        <v>90</v>
      </c>
      <c r="L144" s="2">
        <f>N(correct_ratio_df__2[[#This Row],[correct_ratio]]&gt;0)</f>
        <v>1</v>
      </c>
      <c r="M144" s="2">
        <f>N(correct_ratio_df__2[[#This Row],[correct_ratio]]=1)</f>
        <v>1</v>
      </c>
      <c r="N144" s="2">
        <f>correct_ratio_df__2[[#This Row],[calc available]]-correct_ratio_df__2[[#This Row],[clac stable]]</f>
        <v>0</v>
      </c>
    </row>
    <row r="145" spans="1:14" x14ac:dyDescent="0.2">
      <c r="A145">
        <v>143</v>
      </c>
      <c r="B145" s="2" t="s">
        <v>64</v>
      </c>
      <c r="C145" s="2" t="s">
        <v>14</v>
      </c>
      <c r="D145" s="2" t="s">
        <v>17</v>
      </c>
      <c r="E145" s="2" t="s">
        <v>11</v>
      </c>
      <c r="F145" s="2" t="s">
        <v>81</v>
      </c>
      <c r="G145">
        <v>1</v>
      </c>
      <c r="H145" s="2" t="s">
        <v>30</v>
      </c>
      <c r="I145" s="2" t="s">
        <v>90</v>
      </c>
      <c r="L145" s="2">
        <f>N(correct_ratio_df__2[[#This Row],[correct_ratio]]&gt;0)</f>
        <v>1</v>
      </c>
      <c r="M145" s="2">
        <f>N(correct_ratio_df__2[[#This Row],[correct_ratio]]=1)</f>
        <v>1</v>
      </c>
      <c r="N145" s="2">
        <f>correct_ratio_df__2[[#This Row],[calc available]]-correct_ratio_df__2[[#This Row],[clac stable]]</f>
        <v>0</v>
      </c>
    </row>
    <row r="146" spans="1:14" x14ac:dyDescent="0.2">
      <c r="A146">
        <v>144</v>
      </c>
      <c r="B146" s="2" t="s">
        <v>65</v>
      </c>
      <c r="C146" s="2" t="s">
        <v>19</v>
      </c>
      <c r="D146" s="2" t="s">
        <v>18</v>
      </c>
      <c r="E146" s="2" t="s">
        <v>21</v>
      </c>
      <c r="F146" s="2" t="s">
        <v>81</v>
      </c>
      <c r="G146">
        <v>1</v>
      </c>
      <c r="H146" s="2" t="s">
        <v>30</v>
      </c>
      <c r="I146" s="2" t="s">
        <v>90</v>
      </c>
      <c r="L146" s="2">
        <f>N(correct_ratio_df__2[[#This Row],[correct_ratio]]&gt;0)</f>
        <v>1</v>
      </c>
      <c r="M146" s="2">
        <f>N(correct_ratio_df__2[[#This Row],[correct_ratio]]=1)</f>
        <v>1</v>
      </c>
      <c r="N146" s="2">
        <f>correct_ratio_df__2[[#This Row],[calc available]]-correct_ratio_df__2[[#This Row],[clac stable]]</f>
        <v>0</v>
      </c>
    </row>
    <row r="147" spans="1:14" x14ac:dyDescent="0.2">
      <c r="A147">
        <v>145</v>
      </c>
      <c r="B147" s="2" t="s">
        <v>66</v>
      </c>
      <c r="C147" s="2" t="s">
        <v>14</v>
      </c>
      <c r="D147" s="2" t="s">
        <v>18</v>
      </c>
      <c r="E147" s="2" t="s">
        <v>15</v>
      </c>
      <c r="F147" s="2" t="s">
        <v>81</v>
      </c>
      <c r="G147">
        <v>1</v>
      </c>
      <c r="H147" s="2" t="s">
        <v>30</v>
      </c>
      <c r="I147" s="2" t="s">
        <v>90</v>
      </c>
      <c r="L147" s="2">
        <f>N(correct_ratio_df__2[[#This Row],[correct_ratio]]&gt;0)</f>
        <v>1</v>
      </c>
      <c r="M147" s="2">
        <f>N(correct_ratio_df__2[[#This Row],[correct_ratio]]=1)</f>
        <v>1</v>
      </c>
      <c r="N147" s="2">
        <f>correct_ratio_df__2[[#This Row],[calc available]]-correct_ratio_df__2[[#This Row],[clac stable]]</f>
        <v>0</v>
      </c>
    </row>
    <row r="148" spans="1:14" x14ac:dyDescent="0.2">
      <c r="A148">
        <v>146</v>
      </c>
      <c r="B148" s="2" t="s">
        <v>67</v>
      </c>
      <c r="C148" s="2" t="s">
        <v>9</v>
      </c>
      <c r="D148" s="2" t="s">
        <v>17</v>
      </c>
      <c r="E148" s="2" t="s">
        <v>21</v>
      </c>
      <c r="F148" s="2" t="s">
        <v>81</v>
      </c>
      <c r="G148">
        <v>0.66666666666666663</v>
      </c>
      <c r="H148" s="2" t="s">
        <v>30</v>
      </c>
      <c r="I148" s="2" t="s">
        <v>90</v>
      </c>
      <c r="L148" s="2">
        <f>N(correct_ratio_df__2[[#This Row],[correct_ratio]]&gt;0)</f>
        <v>1</v>
      </c>
      <c r="M148" s="2">
        <f>N(correct_ratio_df__2[[#This Row],[correct_ratio]]=1)</f>
        <v>0</v>
      </c>
      <c r="N148" s="2">
        <f>correct_ratio_df__2[[#This Row],[calc available]]-correct_ratio_df__2[[#This Row],[clac stable]]</f>
        <v>1</v>
      </c>
    </row>
    <row r="149" spans="1:14" x14ac:dyDescent="0.2">
      <c r="A149">
        <v>147</v>
      </c>
      <c r="B149" s="2" t="s">
        <v>68</v>
      </c>
      <c r="C149" s="2" t="s">
        <v>14</v>
      </c>
      <c r="D149" s="2" t="s">
        <v>17</v>
      </c>
      <c r="E149" s="2" t="s">
        <v>15</v>
      </c>
      <c r="F149" s="2" t="s">
        <v>81</v>
      </c>
      <c r="G149">
        <v>0.66666666666666663</v>
      </c>
      <c r="H149" s="2" t="s">
        <v>30</v>
      </c>
      <c r="I149" s="2" t="s">
        <v>90</v>
      </c>
      <c r="L149" s="2">
        <f>N(correct_ratio_df__2[[#This Row],[correct_ratio]]&gt;0)</f>
        <v>1</v>
      </c>
      <c r="M149" s="2">
        <f>N(correct_ratio_df__2[[#This Row],[correct_ratio]]=1)</f>
        <v>0</v>
      </c>
      <c r="N149" s="2">
        <f>correct_ratio_df__2[[#This Row],[calc available]]-correct_ratio_df__2[[#This Row],[clac stable]]</f>
        <v>1</v>
      </c>
    </row>
    <row r="150" spans="1:14" x14ac:dyDescent="0.2">
      <c r="A150">
        <v>148</v>
      </c>
      <c r="B150" s="2" t="s">
        <v>69</v>
      </c>
      <c r="C150" s="2" t="s">
        <v>22</v>
      </c>
      <c r="D150" s="2" t="s">
        <v>17</v>
      </c>
      <c r="E150" s="2" t="s">
        <v>11</v>
      </c>
      <c r="F150" s="2" t="s">
        <v>81</v>
      </c>
      <c r="G150">
        <v>1</v>
      </c>
      <c r="H150" s="2" t="s">
        <v>30</v>
      </c>
      <c r="I150" s="2" t="s">
        <v>90</v>
      </c>
      <c r="L150" s="2">
        <f>N(correct_ratio_df__2[[#This Row],[correct_ratio]]&gt;0)</f>
        <v>1</v>
      </c>
      <c r="M150" s="2">
        <f>N(correct_ratio_df__2[[#This Row],[correct_ratio]]=1)</f>
        <v>1</v>
      </c>
      <c r="N150" s="2">
        <f>correct_ratio_df__2[[#This Row],[calc available]]-correct_ratio_df__2[[#This Row],[clac stable]]</f>
        <v>0</v>
      </c>
    </row>
    <row r="151" spans="1:14" x14ac:dyDescent="0.2">
      <c r="A151">
        <v>149</v>
      </c>
      <c r="B151" s="2" t="s">
        <v>70</v>
      </c>
      <c r="C151" s="2" t="s">
        <v>9</v>
      </c>
      <c r="D151" s="2" t="s">
        <v>17</v>
      </c>
      <c r="E151" s="2" t="s">
        <v>15</v>
      </c>
      <c r="F151" s="2" t="s">
        <v>81</v>
      </c>
      <c r="G151">
        <v>0.33333333333333331</v>
      </c>
      <c r="H151" s="2" t="s">
        <v>30</v>
      </c>
      <c r="I151" s="2" t="s">
        <v>90</v>
      </c>
      <c r="L151" s="2">
        <f>N(correct_ratio_df__2[[#This Row],[correct_ratio]]&gt;0)</f>
        <v>1</v>
      </c>
      <c r="M151" s="2">
        <f>N(correct_ratio_df__2[[#This Row],[correct_ratio]]=1)</f>
        <v>0</v>
      </c>
      <c r="N151" s="2">
        <f>correct_ratio_df__2[[#This Row],[calc available]]-correct_ratio_df__2[[#This Row],[clac stable]]</f>
        <v>1</v>
      </c>
    </row>
    <row r="152" spans="1:14" x14ac:dyDescent="0.2">
      <c r="A152">
        <v>150</v>
      </c>
      <c r="B152" s="2" t="s">
        <v>71</v>
      </c>
      <c r="C152" s="2" t="s">
        <v>9</v>
      </c>
      <c r="D152" s="2" t="s">
        <v>17</v>
      </c>
      <c r="E152" s="2" t="s">
        <v>21</v>
      </c>
      <c r="F152" s="2" t="s">
        <v>81</v>
      </c>
      <c r="G152">
        <v>0.66666666666666663</v>
      </c>
      <c r="H152" s="2" t="s">
        <v>30</v>
      </c>
      <c r="I152" s="2" t="s">
        <v>90</v>
      </c>
      <c r="L152" s="2">
        <f>N(correct_ratio_df__2[[#This Row],[correct_ratio]]&gt;0)</f>
        <v>1</v>
      </c>
      <c r="M152" s="2">
        <f>N(correct_ratio_df__2[[#This Row],[correct_ratio]]=1)</f>
        <v>0</v>
      </c>
      <c r="N152" s="2">
        <f>correct_ratio_df__2[[#This Row],[calc available]]-correct_ratio_df__2[[#This Row],[clac stable]]</f>
        <v>1</v>
      </c>
    </row>
    <row r="153" spans="1:14" x14ac:dyDescent="0.2">
      <c r="A153">
        <v>151</v>
      </c>
      <c r="B153" s="2" t="s">
        <v>72</v>
      </c>
      <c r="C153" s="2" t="s">
        <v>19</v>
      </c>
      <c r="D153" s="2" t="s">
        <v>17</v>
      </c>
      <c r="E153" s="2" t="s">
        <v>11</v>
      </c>
      <c r="F153" s="2" t="s">
        <v>81</v>
      </c>
      <c r="G153">
        <v>0</v>
      </c>
      <c r="H153" s="2" t="s">
        <v>30</v>
      </c>
      <c r="I153" s="2" t="s">
        <v>90</v>
      </c>
      <c r="L153" s="2">
        <f>N(correct_ratio_df__2[[#This Row],[correct_ratio]]&gt;0)</f>
        <v>0</v>
      </c>
      <c r="M153" s="2">
        <f>N(correct_ratio_df__2[[#This Row],[correct_ratio]]=1)</f>
        <v>0</v>
      </c>
      <c r="N153" s="2">
        <f>correct_ratio_df__2[[#This Row],[calc available]]-correct_ratio_df__2[[#This Row],[clac stable]]</f>
        <v>0</v>
      </c>
    </row>
    <row r="154" spans="1:14" x14ac:dyDescent="0.2">
      <c r="A154">
        <v>152</v>
      </c>
      <c r="B154" s="2" t="s">
        <v>73</v>
      </c>
      <c r="C154" s="2" t="s">
        <v>16</v>
      </c>
      <c r="D154" s="2" t="s">
        <v>17</v>
      </c>
      <c r="E154" s="2" t="s">
        <v>11</v>
      </c>
      <c r="F154" s="2" t="s">
        <v>81</v>
      </c>
      <c r="G154">
        <v>0.33333333333333331</v>
      </c>
      <c r="H154" s="2" t="s">
        <v>30</v>
      </c>
      <c r="I154" s="2" t="s">
        <v>90</v>
      </c>
      <c r="L154" s="2">
        <f>N(correct_ratio_df__2[[#This Row],[correct_ratio]]&gt;0)</f>
        <v>1</v>
      </c>
      <c r="M154" s="2">
        <f>N(correct_ratio_df__2[[#This Row],[correct_ratio]]=1)</f>
        <v>0</v>
      </c>
      <c r="N154" s="2">
        <f>correct_ratio_df__2[[#This Row],[calc available]]-correct_ratio_df__2[[#This Row],[clac stable]]</f>
        <v>1</v>
      </c>
    </row>
    <row r="155" spans="1:14" x14ac:dyDescent="0.2">
      <c r="A155">
        <v>153</v>
      </c>
      <c r="B155" s="2" t="s">
        <v>74</v>
      </c>
      <c r="C155" s="2" t="s">
        <v>22</v>
      </c>
      <c r="D155" s="2" t="s">
        <v>17</v>
      </c>
      <c r="E155" s="2" t="s">
        <v>21</v>
      </c>
      <c r="F155" s="2" t="s">
        <v>81</v>
      </c>
      <c r="G155">
        <v>1</v>
      </c>
      <c r="H155" s="2" t="s">
        <v>30</v>
      </c>
      <c r="I155" s="2" t="s">
        <v>90</v>
      </c>
      <c r="L155" s="2">
        <f>N(correct_ratio_df__2[[#This Row],[correct_ratio]]&gt;0)</f>
        <v>1</v>
      </c>
      <c r="M155" s="2">
        <f>N(correct_ratio_df__2[[#This Row],[correct_ratio]]=1)</f>
        <v>1</v>
      </c>
      <c r="N155" s="2">
        <f>correct_ratio_df__2[[#This Row],[calc available]]-correct_ratio_df__2[[#This Row],[clac stable]]</f>
        <v>0</v>
      </c>
    </row>
    <row r="156" spans="1:14" x14ac:dyDescent="0.2">
      <c r="A156">
        <v>154</v>
      </c>
      <c r="B156" s="2" t="s">
        <v>75</v>
      </c>
      <c r="C156" s="2" t="s">
        <v>14</v>
      </c>
      <c r="D156" s="2" t="s">
        <v>17</v>
      </c>
      <c r="E156" s="2" t="s">
        <v>21</v>
      </c>
      <c r="F156" s="2" t="s">
        <v>81</v>
      </c>
      <c r="G156">
        <v>1</v>
      </c>
      <c r="H156" s="2" t="s">
        <v>30</v>
      </c>
      <c r="I156" s="2" t="s">
        <v>90</v>
      </c>
      <c r="L156" s="2">
        <f>N(correct_ratio_df__2[[#This Row],[correct_ratio]]&gt;0)</f>
        <v>1</v>
      </c>
      <c r="M156" s="2">
        <f>N(correct_ratio_df__2[[#This Row],[correct_ratio]]=1)</f>
        <v>1</v>
      </c>
      <c r="N156" s="2">
        <f>correct_ratio_df__2[[#This Row],[calc available]]-correct_ratio_df__2[[#This Row],[clac stable]]</f>
        <v>0</v>
      </c>
    </row>
    <row r="157" spans="1:14" x14ac:dyDescent="0.2">
      <c r="A157">
        <v>155</v>
      </c>
      <c r="B157" s="2" t="s">
        <v>76</v>
      </c>
      <c r="C157" s="2" t="s">
        <v>14</v>
      </c>
      <c r="D157" s="2" t="s">
        <v>10</v>
      </c>
      <c r="E157" s="2" t="s">
        <v>21</v>
      </c>
      <c r="F157" s="2" t="s">
        <v>81</v>
      </c>
      <c r="G157">
        <v>1</v>
      </c>
      <c r="H157" s="2" t="s">
        <v>30</v>
      </c>
      <c r="I157" s="2" t="s">
        <v>90</v>
      </c>
      <c r="L157" s="2">
        <f>N(correct_ratio_df__2[[#This Row],[correct_ratio]]&gt;0)</f>
        <v>1</v>
      </c>
      <c r="M157" s="2">
        <f>N(correct_ratio_df__2[[#This Row],[correct_ratio]]=1)</f>
        <v>1</v>
      </c>
      <c r="N157" s="2">
        <f>correct_ratio_df__2[[#This Row],[calc available]]-correct_ratio_df__2[[#This Row],[clac stable]]</f>
        <v>0</v>
      </c>
    </row>
    <row r="158" spans="1:14" x14ac:dyDescent="0.2">
      <c r="A158">
        <v>156</v>
      </c>
      <c r="B158" s="2" t="s">
        <v>77</v>
      </c>
      <c r="C158" s="2" t="s">
        <v>9</v>
      </c>
      <c r="D158" s="2" t="s">
        <v>17</v>
      </c>
      <c r="E158" s="2" t="s">
        <v>15</v>
      </c>
      <c r="F158" s="2" t="s">
        <v>81</v>
      </c>
      <c r="G158">
        <v>0</v>
      </c>
      <c r="H158" s="2" t="s">
        <v>30</v>
      </c>
      <c r="I158" s="2" t="s">
        <v>90</v>
      </c>
      <c r="L158" s="2">
        <f>N(correct_ratio_df__2[[#This Row],[correct_ratio]]&gt;0)</f>
        <v>0</v>
      </c>
      <c r="M158" s="2">
        <f>N(correct_ratio_df__2[[#This Row],[correct_ratio]]=1)</f>
        <v>0</v>
      </c>
      <c r="N158" s="2">
        <f>correct_ratio_df__2[[#This Row],[calc available]]-correct_ratio_df__2[[#This Row],[clac stable]]</f>
        <v>0</v>
      </c>
    </row>
    <row r="159" spans="1:14" x14ac:dyDescent="0.2">
      <c r="A159">
        <v>157</v>
      </c>
      <c r="B159" s="2" t="s">
        <v>78</v>
      </c>
      <c r="C159" s="2" t="s">
        <v>9</v>
      </c>
      <c r="D159" s="2" t="s">
        <v>17</v>
      </c>
      <c r="E159" s="2" t="s">
        <v>21</v>
      </c>
      <c r="F159" s="2" t="s">
        <v>81</v>
      </c>
      <c r="G159">
        <v>1</v>
      </c>
      <c r="H159" s="2" t="s">
        <v>30</v>
      </c>
      <c r="I159" s="2" t="s">
        <v>90</v>
      </c>
      <c r="L159" s="2">
        <f>N(correct_ratio_df__2[[#This Row],[correct_ratio]]&gt;0)</f>
        <v>1</v>
      </c>
      <c r="M159" s="2">
        <f>N(correct_ratio_df__2[[#This Row],[correct_ratio]]=1)</f>
        <v>1</v>
      </c>
      <c r="N159" s="2">
        <f>correct_ratio_df__2[[#This Row],[calc available]]-correct_ratio_df__2[[#This Row],[clac stable]]</f>
        <v>0</v>
      </c>
    </row>
    <row r="160" spans="1:14" x14ac:dyDescent="0.2">
      <c r="A160">
        <v>158</v>
      </c>
      <c r="B160" s="2" t="s">
        <v>79</v>
      </c>
      <c r="C160" s="2" t="s">
        <v>14</v>
      </c>
      <c r="D160" s="2" t="s">
        <v>17</v>
      </c>
      <c r="E160" s="2" t="s">
        <v>11</v>
      </c>
      <c r="F160" s="2" t="s">
        <v>81</v>
      </c>
      <c r="G160">
        <v>1</v>
      </c>
      <c r="H160" s="2" t="s">
        <v>30</v>
      </c>
      <c r="I160" s="2" t="s">
        <v>90</v>
      </c>
      <c r="L160" s="2">
        <f>N(correct_ratio_df__2[[#This Row],[correct_ratio]]&gt;0)</f>
        <v>1</v>
      </c>
      <c r="M160" s="2">
        <f>N(correct_ratio_df__2[[#This Row],[correct_ratio]]=1)</f>
        <v>1</v>
      </c>
      <c r="N160" s="2">
        <f>correct_ratio_df__2[[#This Row],[calc available]]-correct_ratio_df__2[[#This Row],[clac stable]]</f>
        <v>0</v>
      </c>
    </row>
    <row r="161" spans="1:14" x14ac:dyDescent="0.2">
      <c r="A161">
        <v>159</v>
      </c>
      <c r="B161" s="2" t="s">
        <v>80</v>
      </c>
      <c r="C161" s="2" t="s">
        <v>22</v>
      </c>
      <c r="D161" s="2" t="s">
        <v>20</v>
      </c>
      <c r="E161" s="2" t="s">
        <v>11</v>
      </c>
      <c r="F161" s="2" t="s">
        <v>81</v>
      </c>
      <c r="G161">
        <v>0</v>
      </c>
      <c r="H161" s="2" t="s">
        <v>30</v>
      </c>
      <c r="I161" s="2" t="s">
        <v>90</v>
      </c>
      <c r="L161" s="2">
        <f>N(correct_ratio_df__2[[#This Row],[correct_ratio]]&gt;0)</f>
        <v>0</v>
      </c>
      <c r="M161" s="2">
        <f>N(correct_ratio_df__2[[#This Row],[correct_ratio]]=1)</f>
        <v>0</v>
      </c>
      <c r="N161" s="2">
        <f>correct_ratio_df__2[[#This Row],[calc available]]-correct_ratio_df__2[[#This Row],[clac stable]]</f>
        <v>0</v>
      </c>
    </row>
    <row r="162" spans="1:14" x14ac:dyDescent="0.2">
      <c r="A162">
        <v>160</v>
      </c>
      <c r="B162" s="2" t="s">
        <v>41</v>
      </c>
      <c r="C162" s="2" t="s">
        <v>9</v>
      </c>
      <c r="D162" s="2" t="s">
        <v>10</v>
      </c>
      <c r="E162" s="2" t="s">
        <v>11</v>
      </c>
      <c r="F162" s="2" t="s">
        <v>26</v>
      </c>
      <c r="G162">
        <v>1</v>
      </c>
      <c r="H162" s="2" t="s">
        <v>13</v>
      </c>
      <c r="I162" s="2" t="s">
        <v>87</v>
      </c>
      <c r="L162" s="2">
        <f>N(correct_ratio_df__2[[#This Row],[correct_ratio]]&gt;0)</f>
        <v>1</v>
      </c>
      <c r="M162" s="2">
        <f>N(correct_ratio_df__2[[#This Row],[correct_ratio]]=1)</f>
        <v>1</v>
      </c>
      <c r="N162" s="2">
        <f>correct_ratio_df__2[[#This Row],[calc available]]-correct_ratio_df__2[[#This Row],[clac stable]]</f>
        <v>0</v>
      </c>
    </row>
    <row r="163" spans="1:14" x14ac:dyDescent="0.2">
      <c r="A163">
        <v>161</v>
      </c>
      <c r="B163" s="2" t="s">
        <v>42</v>
      </c>
      <c r="C163" s="2" t="s">
        <v>14</v>
      </c>
      <c r="D163" s="2" t="s">
        <v>10</v>
      </c>
      <c r="E163" s="2" t="s">
        <v>15</v>
      </c>
      <c r="F163" s="2" t="s">
        <v>26</v>
      </c>
      <c r="G163">
        <v>1</v>
      </c>
      <c r="H163" s="2" t="s">
        <v>13</v>
      </c>
      <c r="I163" s="2" t="s">
        <v>87</v>
      </c>
      <c r="L163" s="2">
        <f>N(correct_ratio_df__2[[#This Row],[correct_ratio]]&gt;0)</f>
        <v>1</v>
      </c>
      <c r="M163" s="2">
        <f>N(correct_ratio_df__2[[#This Row],[correct_ratio]]=1)</f>
        <v>1</v>
      </c>
      <c r="N163" s="2">
        <f>correct_ratio_df__2[[#This Row],[calc available]]-correct_ratio_df__2[[#This Row],[clac stable]]</f>
        <v>0</v>
      </c>
    </row>
    <row r="164" spans="1:14" x14ac:dyDescent="0.2">
      <c r="A164">
        <v>162</v>
      </c>
      <c r="B164" s="2" t="s">
        <v>43</v>
      </c>
      <c r="C164" s="2" t="s">
        <v>16</v>
      </c>
      <c r="D164" s="2" t="s">
        <v>17</v>
      </c>
      <c r="E164" s="2" t="s">
        <v>11</v>
      </c>
      <c r="F164" s="2" t="s">
        <v>26</v>
      </c>
      <c r="G164">
        <v>1</v>
      </c>
      <c r="H164" s="2" t="s">
        <v>13</v>
      </c>
      <c r="I164" s="2" t="s">
        <v>87</v>
      </c>
      <c r="L164" s="2">
        <f>N(correct_ratio_df__2[[#This Row],[correct_ratio]]&gt;0)</f>
        <v>1</v>
      </c>
      <c r="M164" s="2">
        <f>N(correct_ratio_df__2[[#This Row],[correct_ratio]]=1)</f>
        <v>1</v>
      </c>
      <c r="N164" s="2">
        <f>correct_ratio_df__2[[#This Row],[calc available]]-correct_ratio_df__2[[#This Row],[clac stable]]</f>
        <v>0</v>
      </c>
    </row>
    <row r="165" spans="1:14" x14ac:dyDescent="0.2">
      <c r="A165">
        <v>163</v>
      </c>
      <c r="B165" s="2" t="s">
        <v>44</v>
      </c>
      <c r="C165" s="2" t="s">
        <v>16</v>
      </c>
      <c r="D165" s="2" t="s">
        <v>10</v>
      </c>
      <c r="E165" s="2" t="s">
        <v>15</v>
      </c>
      <c r="F165" s="2" t="s">
        <v>26</v>
      </c>
      <c r="G165">
        <v>1</v>
      </c>
      <c r="H165" s="2" t="s">
        <v>13</v>
      </c>
      <c r="I165" s="2" t="s">
        <v>87</v>
      </c>
      <c r="L165" s="2">
        <f>N(correct_ratio_df__2[[#This Row],[correct_ratio]]&gt;0)</f>
        <v>1</v>
      </c>
      <c r="M165" s="2">
        <f>N(correct_ratio_df__2[[#This Row],[correct_ratio]]=1)</f>
        <v>1</v>
      </c>
      <c r="N165" s="2">
        <f>correct_ratio_df__2[[#This Row],[calc available]]-correct_ratio_df__2[[#This Row],[clac stable]]</f>
        <v>0</v>
      </c>
    </row>
    <row r="166" spans="1:14" x14ac:dyDescent="0.2">
      <c r="A166">
        <v>164</v>
      </c>
      <c r="B166" s="2" t="s">
        <v>45</v>
      </c>
      <c r="C166" s="2" t="s">
        <v>14</v>
      </c>
      <c r="D166" s="2" t="s">
        <v>18</v>
      </c>
      <c r="E166" s="2" t="s">
        <v>15</v>
      </c>
      <c r="F166" s="2" t="s">
        <v>26</v>
      </c>
      <c r="G166">
        <v>1</v>
      </c>
      <c r="H166" s="2" t="s">
        <v>13</v>
      </c>
      <c r="I166" s="2" t="s">
        <v>87</v>
      </c>
      <c r="L166" s="2">
        <f>N(correct_ratio_df__2[[#This Row],[correct_ratio]]&gt;0)</f>
        <v>1</v>
      </c>
      <c r="M166" s="2">
        <f>N(correct_ratio_df__2[[#This Row],[correct_ratio]]=1)</f>
        <v>1</v>
      </c>
      <c r="N166" s="2">
        <f>correct_ratio_df__2[[#This Row],[calc available]]-correct_ratio_df__2[[#This Row],[clac stable]]</f>
        <v>0</v>
      </c>
    </row>
    <row r="167" spans="1:14" x14ac:dyDescent="0.2">
      <c r="A167">
        <v>165</v>
      </c>
      <c r="B167" s="2" t="s">
        <v>46</v>
      </c>
      <c r="C167" s="2" t="s">
        <v>14</v>
      </c>
      <c r="D167" s="2" t="s">
        <v>10</v>
      </c>
      <c r="E167" s="2" t="s">
        <v>15</v>
      </c>
      <c r="F167" s="2" t="s">
        <v>26</v>
      </c>
      <c r="G167">
        <v>1</v>
      </c>
      <c r="H167" s="2" t="s">
        <v>13</v>
      </c>
      <c r="I167" s="2" t="s">
        <v>87</v>
      </c>
      <c r="L167" s="2">
        <f>N(correct_ratio_df__2[[#This Row],[correct_ratio]]&gt;0)</f>
        <v>1</v>
      </c>
      <c r="M167" s="2">
        <f>N(correct_ratio_df__2[[#This Row],[correct_ratio]]=1)</f>
        <v>1</v>
      </c>
      <c r="N167" s="2">
        <f>correct_ratio_df__2[[#This Row],[calc available]]-correct_ratio_df__2[[#This Row],[clac stable]]</f>
        <v>0</v>
      </c>
    </row>
    <row r="168" spans="1:14" x14ac:dyDescent="0.2">
      <c r="A168">
        <v>166</v>
      </c>
      <c r="B168" s="2" t="s">
        <v>47</v>
      </c>
      <c r="C168" s="2" t="s">
        <v>19</v>
      </c>
      <c r="D168" s="2" t="s">
        <v>10</v>
      </c>
      <c r="E168" s="2" t="s">
        <v>15</v>
      </c>
      <c r="F168" s="2" t="s">
        <v>26</v>
      </c>
      <c r="G168">
        <v>1</v>
      </c>
      <c r="H168" s="2" t="s">
        <v>13</v>
      </c>
      <c r="I168" s="2" t="s">
        <v>87</v>
      </c>
      <c r="L168" s="2">
        <f>N(correct_ratio_df__2[[#This Row],[correct_ratio]]&gt;0)</f>
        <v>1</v>
      </c>
      <c r="M168" s="2">
        <f>N(correct_ratio_df__2[[#This Row],[correct_ratio]]=1)</f>
        <v>1</v>
      </c>
      <c r="N168" s="2">
        <f>correct_ratio_df__2[[#This Row],[calc available]]-correct_ratio_df__2[[#This Row],[clac stable]]</f>
        <v>0</v>
      </c>
    </row>
    <row r="169" spans="1:14" x14ac:dyDescent="0.2">
      <c r="A169">
        <v>167</v>
      </c>
      <c r="B169" s="2" t="s">
        <v>48</v>
      </c>
      <c r="C169" s="2" t="s">
        <v>16</v>
      </c>
      <c r="D169" s="2" t="s">
        <v>20</v>
      </c>
      <c r="E169" s="2" t="s">
        <v>21</v>
      </c>
      <c r="F169" s="2" t="s">
        <v>26</v>
      </c>
      <c r="G169">
        <v>1</v>
      </c>
      <c r="H169" s="2" t="s">
        <v>13</v>
      </c>
      <c r="I169" s="2" t="s">
        <v>87</v>
      </c>
      <c r="L169" s="2">
        <f>N(correct_ratio_df__2[[#This Row],[correct_ratio]]&gt;0)</f>
        <v>1</v>
      </c>
      <c r="M169" s="2">
        <f>N(correct_ratio_df__2[[#This Row],[correct_ratio]]=1)</f>
        <v>1</v>
      </c>
      <c r="N169" s="2">
        <f>correct_ratio_df__2[[#This Row],[calc available]]-correct_ratio_df__2[[#This Row],[clac stable]]</f>
        <v>0</v>
      </c>
    </row>
    <row r="170" spans="1:14" x14ac:dyDescent="0.2">
      <c r="A170">
        <v>168</v>
      </c>
      <c r="B170" s="2" t="s">
        <v>49</v>
      </c>
      <c r="C170" s="2" t="s">
        <v>16</v>
      </c>
      <c r="D170" s="2" t="s">
        <v>10</v>
      </c>
      <c r="E170" s="2" t="s">
        <v>21</v>
      </c>
      <c r="F170" s="2" t="s">
        <v>26</v>
      </c>
      <c r="G170">
        <v>1</v>
      </c>
      <c r="H170" s="2" t="s">
        <v>13</v>
      </c>
      <c r="I170" s="2" t="s">
        <v>87</v>
      </c>
      <c r="L170" s="2">
        <f>N(correct_ratio_df__2[[#This Row],[correct_ratio]]&gt;0)</f>
        <v>1</v>
      </c>
      <c r="M170" s="2">
        <f>N(correct_ratio_df__2[[#This Row],[correct_ratio]]=1)</f>
        <v>1</v>
      </c>
      <c r="N170" s="2">
        <f>correct_ratio_df__2[[#This Row],[calc available]]-correct_ratio_df__2[[#This Row],[clac stable]]</f>
        <v>0</v>
      </c>
    </row>
    <row r="171" spans="1:14" x14ac:dyDescent="0.2">
      <c r="A171">
        <v>169</v>
      </c>
      <c r="B171" s="2" t="s">
        <v>50</v>
      </c>
      <c r="C171" s="2" t="s">
        <v>9</v>
      </c>
      <c r="D171" s="2" t="s">
        <v>17</v>
      </c>
      <c r="E171" s="2" t="s">
        <v>21</v>
      </c>
      <c r="F171" s="2" t="s">
        <v>26</v>
      </c>
      <c r="G171">
        <v>1</v>
      </c>
      <c r="H171" s="2" t="s">
        <v>13</v>
      </c>
      <c r="I171" s="2" t="s">
        <v>87</v>
      </c>
      <c r="L171" s="2">
        <f>N(correct_ratio_df__2[[#This Row],[correct_ratio]]&gt;0)</f>
        <v>1</v>
      </c>
      <c r="M171" s="2">
        <f>N(correct_ratio_df__2[[#This Row],[correct_ratio]]=1)</f>
        <v>1</v>
      </c>
      <c r="N171" s="2">
        <f>correct_ratio_df__2[[#This Row],[calc available]]-correct_ratio_df__2[[#This Row],[clac stable]]</f>
        <v>0</v>
      </c>
    </row>
    <row r="172" spans="1:14" x14ac:dyDescent="0.2">
      <c r="A172">
        <v>170</v>
      </c>
      <c r="B172" s="2" t="s">
        <v>51</v>
      </c>
      <c r="C172" s="2" t="s">
        <v>16</v>
      </c>
      <c r="D172" s="2" t="s">
        <v>17</v>
      </c>
      <c r="E172" s="2" t="s">
        <v>11</v>
      </c>
      <c r="F172" s="2" t="s">
        <v>26</v>
      </c>
      <c r="G172">
        <v>1</v>
      </c>
      <c r="H172" s="2" t="s">
        <v>13</v>
      </c>
      <c r="I172" s="2" t="s">
        <v>87</v>
      </c>
      <c r="L172" s="2">
        <f>N(correct_ratio_df__2[[#This Row],[correct_ratio]]&gt;0)</f>
        <v>1</v>
      </c>
      <c r="M172" s="2">
        <f>N(correct_ratio_df__2[[#This Row],[correct_ratio]]=1)</f>
        <v>1</v>
      </c>
      <c r="N172" s="2">
        <f>correct_ratio_df__2[[#This Row],[calc available]]-correct_ratio_df__2[[#This Row],[clac stable]]</f>
        <v>0</v>
      </c>
    </row>
    <row r="173" spans="1:14" x14ac:dyDescent="0.2">
      <c r="A173">
        <v>171</v>
      </c>
      <c r="B173" s="2" t="s">
        <v>52</v>
      </c>
      <c r="C173" s="2" t="s">
        <v>9</v>
      </c>
      <c r="D173" s="2" t="s">
        <v>17</v>
      </c>
      <c r="E173" s="2" t="s">
        <v>15</v>
      </c>
      <c r="F173" s="2" t="s">
        <v>26</v>
      </c>
      <c r="G173">
        <v>1</v>
      </c>
      <c r="H173" s="2" t="s">
        <v>13</v>
      </c>
      <c r="I173" s="2" t="s">
        <v>87</v>
      </c>
      <c r="L173" s="2">
        <f>N(correct_ratio_df__2[[#This Row],[correct_ratio]]&gt;0)</f>
        <v>1</v>
      </c>
      <c r="M173" s="2">
        <f>N(correct_ratio_df__2[[#This Row],[correct_ratio]]=1)</f>
        <v>1</v>
      </c>
      <c r="N173" s="2">
        <f>correct_ratio_df__2[[#This Row],[calc available]]-correct_ratio_df__2[[#This Row],[clac stable]]</f>
        <v>0</v>
      </c>
    </row>
    <row r="174" spans="1:14" x14ac:dyDescent="0.2">
      <c r="A174">
        <v>172</v>
      </c>
      <c r="B174" s="2" t="s">
        <v>53</v>
      </c>
      <c r="C174" s="2" t="s">
        <v>19</v>
      </c>
      <c r="D174" s="2" t="s">
        <v>17</v>
      </c>
      <c r="E174" s="2" t="s">
        <v>21</v>
      </c>
      <c r="F174" s="2" t="s">
        <v>26</v>
      </c>
      <c r="G174">
        <v>0.66666666666666663</v>
      </c>
      <c r="H174" s="2" t="s">
        <v>13</v>
      </c>
      <c r="I174" s="2" t="s">
        <v>87</v>
      </c>
      <c r="L174" s="2">
        <f>N(correct_ratio_df__2[[#This Row],[correct_ratio]]&gt;0)</f>
        <v>1</v>
      </c>
      <c r="M174" s="2">
        <f>N(correct_ratio_df__2[[#This Row],[correct_ratio]]=1)</f>
        <v>0</v>
      </c>
      <c r="N174" s="2">
        <f>correct_ratio_df__2[[#This Row],[calc available]]-correct_ratio_df__2[[#This Row],[clac stable]]</f>
        <v>1</v>
      </c>
    </row>
    <row r="175" spans="1:14" x14ac:dyDescent="0.2">
      <c r="A175">
        <v>173</v>
      </c>
      <c r="B175" s="2" t="s">
        <v>54</v>
      </c>
      <c r="C175" s="2" t="s">
        <v>14</v>
      </c>
      <c r="D175" s="2" t="s">
        <v>17</v>
      </c>
      <c r="E175" s="2" t="s">
        <v>15</v>
      </c>
      <c r="F175" s="2" t="s">
        <v>26</v>
      </c>
      <c r="G175">
        <v>1</v>
      </c>
      <c r="H175" s="2" t="s">
        <v>13</v>
      </c>
      <c r="I175" s="2" t="s">
        <v>87</v>
      </c>
      <c r="L175" s="2">
        <f>N(correct_ratio_df__2[[#This Row],[correct_ratio]]&gt;0)</f>
        <v>1</v>
      </c>
      <c r="M175" s="2">
        <f>N(correct_ratio_df__2[[#This Row],[correct_ratio]]=1)</f>
        <v>1</v>
      </c>
      <c r="N175" s="2">
        <f>correct_ratio_df__2[[#This Row],[calc available]]-correct_ratio_df__2[[#This Row],[clac stable]]</f>
        <v>0</v>
      </c>
    </row>
    <row r="176" spans="1:14" x14ac:dyDescent="0.2">
      <c r="A176">
        <v>174</v>
      </c>
      <c r="B176" s="2" t="s">
        <v>55</v>
      </c>
      <c r="C176" s="2" t="s">
        <v>9</v>
      </c>
      <c r="D176" s="2" t="s">
        <v>18</v>
      </c>
      <c r="E176" s="2" t="s">
        <v>21</v>
      </c>
      <c r="F176" s="2" t="s">
        <v>26</v>
      </c>
      <c r="G176">
        <v>1</v>
      </c>
      <c r="H176" s="2" t="s">
        <v>13</v>
      </c>
      <c r="I176" s="2" t="s">
        <v>87</v>
      </c>
      <c r="L176" s="2">
        <f>N(correct_ratio_df__2[[#This Row],[correct_ratio]]&gt;0)</f>
        <v>1</v>
      </c>
      <c r="M176" s="2">
        <f>N(correct_ratio_df__2[[#This Row],[correct_ratio]]=1)</f>
        <v>1</v>
      </c>
      <c r="N176" s="2">
        <f>correct_ratio_df__2[[#This Row],[calc available]]-correct_ratio_df__2[[#This Row],[clac stable]]</f>
        <v>0</v>
      </c>
    </row>
    <row r="177" spans="1:14" x14ac:dyDescent="0.2">
      <c r="A177">
        <v>175</v>
      </c>
      <c r="B177" s="2" t="s">
        <v>56</v>
      </c>
      <c r="C177" s="2" t="s">
        <v>19</v>
      </c>
      <c r="D177" s="2" t="s">
        <v>17</v>
      </c>
      <c r="E177" s="2" t="s">
        <v>21</v>
      </c>
      <c r="F177" s="2" t="s">
        <v>26</v>
      </c>
      <c r="G177">
        <v>0</v>
      </c>
      <c r="H177" s="2" t="s">
        <v>13</v>
      </c>
      <c r="I177" s="2" t="s">
        <v>87</v>
      </c>
      <c r="L177" s="2">
        <f>N(correct_ratio_df__2[[#This Row],[correct_ratio]]&gt;0)</f>
        <v>0</v>
      </c>
      <c r="M177" s="2">
        <f>N(correct_ratio_df__2[[#This Row],[correct_ratio]]=1)</f>
        <v>0</v>
      </c>
      <c r="N177" s="2">
        <f>correct_ratio_df__2[[#This Row],[calc available]]-correct_ratio_df__2[[#This Row],[clac stable]]</f>
        <v>0</v>
      </c>
    </row>
    <row r="178" spans="1:14" x14ac:dyDescent="0.2">
      <c r="A178">
        <v>176</v>
      </c>
      <c r="B178" s="2" t="s">
        <v>57</v>
      </c>
      <c r="C178" s="2" t="s">
        <v>9</v>
      </c>
      <c r="D178" s="2" t="s">
        <v>17</v>
      </c>
      <c r="E178" s="2" t="s">
        <v>21</v>
      </c>
      <c r="F178" s="2" t="s">
        <v>26</v>
      </c>
      <c r="G178">
        <v>1</v>
      </c>
      <c r="H178" s="2" t="s">
        <v>13</v>
      </c>
      <c r="I178" s="2" t="s">
        <v>87</v>
      </c>
      <c r="L178" s="2">
        <f>N(correct_ratio_df__2[[#This Row],[correct_ratio]]&gt;0)</f>
        <v>1</v>
      </c>
      <c r="M178" s="2">
        <f>N(correct_ratio_df__2[[#This Row],[correct_ratio]]=1)</f>
        <v>1</v>
      </c>
      <c r="N178" s="2">
        <f>correct_ratio_df__2[[#This Row],[calc available]]-correct_ratio_df__2[[#This Row],[clac stable]]</f>
        <v>0</v>
      </c>
    </row>
    <row r="179" spans="1:14" x14ac:dyDescent="0.2">
      <c r="A179">
        <v>177</v>
      </c>
      <c r="B179" s="2" t="s">
        <v>58</v>
      </c>
      <c r="C179" s="2" t="s">
        <v>9</v>
      </c>
      <c r="D179" s="2" t="s">
        <v>17</v>
      </c>
      <c r="E179" s="2" t="s">
        <v>21</v>
      </c>
      <c r="F179" s="2" t="s">
        <v>26</v>
      </c>
      <c r="G179">
        <v>1</v>
      </c>
      <c r="H179" s="2" t="s">
        <v>13</v>
      </c>
      <c r="I179" s="2" t="s">
        <v>87</v>
      </c>
      <c r="L179" s="2">
        <f>N(correct_ratio_df__2[[#This Row],[correct_ratio]]&gt;0)</f>
        <v>1</v>
      </c>
      <c r="M179" s="2">
        <f>N(correct_ratio_df__2[[#This Row],[correct_ratio]]=1)</f>
        <v>1</v>
      </c>
      <c r="N179" s="2">
        <f>correct_ratio_df__2[[#This Row],[calc available]]-correct_ratio_df__2[[#This Row],[clac stable]]</f>
        <v>0</v>
      </c>
    </row>
    <row r="180" spans="1:14" x14ac:dyDescent="0.2">
      <c r="A180">
        <v>178</v>
      </c>
      <c r="B180" s="2" t="s">
        <v>59</v>
      </c>
      <c r="C180" s="2" t="s">
        <v>19</v>
      </c>
      <c r="D180" s="2" t="s">
        <v>17</v>
      </c>
      <c r="E180" s="2" t="s">
        <v>15</v>
      </c>
      <c r="F180" s="2" t="s">
        <v>26</v>
      </c>
      <c r="G180">
        <v>1</v>
      </c>
      <c r="H180" s="2" t="s">
        <v>13</v>
      </c>
      <c r="I180" s="2" t="s">
        <v>87</v>
      </c>
      <c r="L180" s="2">
        <f>N(correct_ratio_df__2[[#This Row],[correct_ratio]]&gt;0)</f>
        <v>1</v>
      </c>
      <c r="M180" s="2">
        <f>N(correct_ratio_df__2[[#This Row],[correct_ratio]]=1)</f>
        <v>1</v>
      </c>
      <c r="N180" s="2">
        <f>correct_ratio_df__2[[#This Row],[calc available]]-correct_ratio_df__2[[#This Row],[clac stable]]</f>
        <v>0</v>
      </c>
    </row>
    <row r="181" spans="1:14" x14ac:dyDescent="0.2">
      <c r="A181">
        <v>179</v>
      </c>
      <c r="B181" s="2" t="s">
        <v>60</v>
      </c>
      <c r="C181" s="2" t="s">
        <v>9</v>
      </c>
      <c r="D181" s="2" t="s">
        <v>17</v>
      </c>
      <c r="E181" s="2" t="s">
        <v>21</v>
      </c>
      <c r="F181" s="2" t="s">
        <v>26</v>
      </c>
      <c r="G181">
        <v>1</v>
      </c>
      <c r="H181" s="2" t="s">
        <v>13</v>
      </c>
      <c r="I181" s="2" t="s">
        <v>87</v>
      </c>
      <c r="L181" s="2">
        <f>N(correct_ratio_df__2[[#This Row],[correct_ratio]]&gt;0)</f>
        <v>1</v>
      </c>
      <c r="M181" s="2">
        <f>N(correct_ratio_df__2[[#This Row],[correct_ratio]]=1)</f>
        <v>1</v>
      </c>
      <c r="N181" s="2">
        <f>correct_ratio_df__2[[#This Row],[calc available]]-correct_ratio_df__2[[#This Row],[clac stable]]</f>
        <v>0</v>
      </c>
    </row>
    <row r="182" spans="1:14" x14ac:dyDescent="0.2">
      <c r="A182">
        <v>180</v>
      </c>
      <c r="B182" s="2" t="s">
        <v>61</v>
      </c>
      <c r="C182" s="2" t="s">
        <v>14</v>
      </c>
      <c r="D182" s="2" t="s">
        <v>10</v>
      </c>
      <c r="E182" s="2" t="s">
        <v>11</v>
      </c>
      <c r="F182" s="2" t="s">
        <v>26</v>
      </c>
      <c r="G182">
        <v>1</v>
      </c>
      <c r="H182" s="2" t="s">
        <v>13</v>
      </c>
      <c r="I182" s="2" t="s">
        <v>87</v>
      </c>
      <c r="L182" s="2">
        <f>N(correct_ratio_df__2[[#This Row],[correct_ratio]]&gt;0)</f>
        <v>1</v>
      </c>
      <c r="M182" s="2">
        <f>N(correct_ratio_df__2[[#This Row],[correct_ratio]]=1)</f>
        <v>1</v>
      </c>
      <c r="N182" s="2">
        <f>correct_ratio_df__2[[#This Row],[calc available]]-correct_ratio_df__2[[#This Row],[clac stable]]</f>
        <v>0</v>
      </c>
    </row>
    <row r="183" spans="1:14" x14ac:dyDescent="0.2">
      <c r="A183">
        <v>181</v>
      </c>
      <c r="B183" s="2" t="s">
        <v>62</v>
      </c>
      <c r="C183" s="2" t="s">
        <v>16</v>
      </c>
      <c r="D183" s="2" t="s">
        <v>18</v>
      </c>
      <c r="E183" s="2" t="s">
        <v>11</v>
      </c>
      <c r="F183" s="2" t="s">
        <v>26</v>
      </c>
      <c r="G183">
        <v>0.66666666666666663</v>
      </c>
      <c r="H183" s="2" t="s">
        <v>13</v>
      </c>
      <c r="I183" s="2" t="s">
        <v>87</v>
      </c>
      <c r="L183" s="2">
        <f>N(correct_ratio_df__2[[#This Row],[correct_ratio]]&gt;0)</f>
        <v>1</v>
      </c>
      <c r="M183" s="2">
        <f>N(correct_ratio_df__2[[#This Row],[correct_ratio]]=1)</f>
        <v>0</v>
      </c>
      <c r="N183" s="2">
        <f>correct_ratio_df__2[[#This Row],[calc available]]-correct_ratio_df__2[[#This Row],[clac stable]]</f>
        <v>1</v>
      </c>
    </row>
    <row r="184" spans="1:14" x14ac:dyDescent="0.2">
      <c r="A184">
        <v>182</v>
      </c>
      <c r="B184" s="2" t="s">
        <v>63</v>
      </c>
      <c r="C184" s="2" t="s">
        <v>9</v>
      </c>
      <c r="D184" s="2" t="s">
        <v>20</v>
      </c>
      <c r="E184" s="2" t="s">
        <v>15</v>
      </c>
      <c r="F184" s="2" t="s">
        <v>26</v>
      </c>
      <c r="G184">
        <v>0.33333333333333331</v>
      </c>
      <c r="H184" s="2" t="s">
        <v>13</v>
      </c>
      <c r="I184" s="2" t="s">
        <v>87</v>
      </c>
      <c r="L184" s="2">
        <f>N(correct_ratio_df__2[[#This Row],[correct_ratio]]&gt;0)</f>
        <v>1</v>
      </c>
      <c r="M184" s="2">
        <f>N(correct_ratio_df__2[[#This Row],[correct_ratio]]=1)</f>
        <v>0</v>
      </c>
      <c r="N184" s="2">
        <f>correct_ratio_df__2[[#This Row],[calc available]]-correct_ratio_df__2[[#This Row],[clac stable]]</f>
        <v>1</v>
      </c>
    </row>
    <row r="185" spans="1:14" x14ac:dyDescent="0.2">
      <c r="A185">
        <v>183</v>
      </c>
      <c r="B185" s="2" t="s">
        <v>64</v>
      </c>
      <c r="C185" s="2" t="s">
        <v>14</v>
      </c>
      <c r="D185" s="2" t="s">
        <v>17</v>
      </c>
      <c r="E185" s="2" t="s">
        <v>11</v>
      </c>
      <c r="F185" s="2" t="s">
        <v>26</v>
      </c>
      <c r="G185">
        <v>1</v>
      </c>
      <c r="H185" s="2" t="s">
        <v>13</v>
      </c>
      <c r="I185" s="2" t="s">
        <v>87</v>
      </c>
      <c r="L185" s="2">
        <f>N(correct_ratio_df__2[[#This Row],[correct_ratio]]&gt;0)</f>
        <v>1</v>
      </c>
      <c r="M185" s="2">
        <f>N(correct_ratio_df__2[[#This Row],[correct_ratio]]=1)</f>
        <v>1</v>
      </c>
      <c r="N185" s="2">
        <f>correct_ratio_df__2[[#This Row],[calc available]]-correct_ratio_df__2[[#This Row],[clac stable]]</f>
        <v>0</v>
      </c>
    </row>
    <row r="186" spans="1:14" x14ac:dyDescent="0.2">
      <c r="A186">
        <v>184</v>
      </c>
      <c r="B186" s="2" t="s">
        <v>65</v>
      </c>
      <c r="C186" s="2" t="s">
        <v>19</v>
      </c>
      <c r="D186" s="2" t="s">
        <v>18</v>
      </c>
      <c r="E186" s="2" t="s">
        <v>21</v>
      </c>
      <c r="F186" s="2" t="s">
        <v>26</v>
      </c>
      <c r="G186">
        <v>1</v>
      </c>
      <c r="H186" s="2" t="s">
        <v>13</v>
      </c>
      <c r="I186" s="2" t="s">
        <v>87</v>
      </c>
      <c r="L186" s="2">
        <f>N(correct_ratio_df__2[[#This Row],[correct_ratio]]&gt;0)</f>
        <v>1</v>
      </c>
      <c r="M186" s="2">
        <f>N(correct_ratio_df__2[[#This Row],[correct_ratio]]=1)</f>
        <v>1</v>
      </c>
      <c r="N186" s="2">
        <f>correct_ratio_df__2[[#This Row],[calc available]]-correct_ratio_df__2[[#This Row],[clac stable]]</f>
        <v>0</v>
      </c>
    </row>
    <row r="187" spans="1:14" x14ac:dyDescent="0.2">
      <c r="A187">
        <v>185</v>
      </c>
      <c r="B187" s="2" t="s">
        <v>66</v>
      </c>
      <c r="C187" s="2" t="s">
        <v>14</v>
      </c>
      <c r="D187" s="2" t="s">
        <v>18</v>
      </c>
      <c r="E187" s="2" t="s">
        <v>15</v>
      </c>
      <c r="F187" s="2" t="s">
        <v>26</v>
      </c>
      <c r="G187">
        <v>1</v>
      </c>
      <c r="H187" s="2" t="s">
        <v>13</v>
      </c>
      <c r="I187" s="2" t="s">
        <v>87</v>
      </c>
      <c r="L187" s="2">
        <f>N(correct_ratio_df__2[[#This Row],[correct_ratio]]&gt;0)</f>
        <v>1</v>
      </c>
      <c r="M187" s="2">
        <f>N(correct_ratio_df__2[[#This Row],[correct_ratio]]=1)</f>
        <v>1</v>
      </c>
      <c r="N187" s="2">
        <f>correct_ratio_df__2[[#This Row],[calc available]]-correct_ratio_df__2[[#This Row],[clac stable]]</f>
        <v>0</v>
      </c>
    </row>
    <row r="188" spans="1:14" x14ac:dyDescent="0.2">
      <c r="A188">
        <v>186</v>
      </c>
      <c r="B188" s="2" t="s">
        <v>67</v>
      </c>
      <c r="C188" s="2" t="s">
        <v>9</v>
      </c>
      <c r="D188" s="2" t="s">
        <v>17</v>
      </c>
      <c r="E188" s="2" t="s">
        <v>21</v>
      </c>
      <c r="F188" s="2" t="s">
        <v>26</v>
      </c>
      <c r="G188">
        <v>1</v>
      </c>
      <c r="H188" s="2" t="s">
        <v>13</v>
      </c>
      <c r="I188" s="2" t="s">
        <v>87</v>
      </c>
      <c r="L188" s="2">
        <f>N(correct_ratio_df__2[[#This Row],[correct_ratio]]&gt;0)</f>
        <v>1</v>
      </c>
      <c r="M188" s="2">
        <f>N(correct_ratio_df__2[[#This Row],[correct_ratio]]=1)</f>
        <v>1</v>
      </c>
      <c r="N188" s="2">
        <f>correct_ratio_df__2[[#This Row],[calc available]]-correct_ratio_df__2[[#This Row],[clac stable]]</f>
        <v>0</v>
      </c>
    </row>
    <row r="189" spans="1:14" x14ac:dyDescent="0.2">
      <c r="A189">
        <v>187</v>
      </c>
      <c r="B189" s="2" t="s">
        <v>68</v>
      </c>
      <c r="C189" s="2" t="s">
        <v>14</v>
      </c>
      <c r="D189" s="2" t="s">
        <v>17</v>
      </c>
      <c r="E189" s="2" t="s">
        <v>15</v>
      </c>
      <c r="F189" s="2" t="s">
        <v>26</v>
      </c>
      <c r="G189">
        <v>1</v>
      </c>
      <c r="H189" s="2" t="s">
        <v>13</v>
      </c>
      <c r="I189" s="2" t="s">
        <v>87</v>
      </c>
      <c r="L189" s="2">
        <f>N(correct_ratio_df__2[[#This Row],[correct_ratio]]&gt;0)</f>
        <v>1</v>
      </c>
      <c r="M189" s="2">
        <f>N(correct_ratio_df__2[[#This Row],[correct_ratio]]=1)</f>
        <v>1</v>
      </c>
      <c r="N189" s="2">
        <f>correct_ratio_df__2[[#This Row],[calc available]]-correct_ratio_df__2[[#This Row],[clac stable]]</f>
        <v>0</v>
      </c>
    </row>
    <row r="190" spans="1:14" x14ac:dyDescent="0.2">
      <c r="A190">
        <v>188</v>
      </c>
      <c r="B190" s="2" t="s">
        <v>69</v>
      </c>
      <c r="C190" s="2" t="s">
        <v>22</v>
      </c>
      <c r="D190" s="2" t="s">
        <v>17</v>
      </c>
      <c r="E190" s="2" t="s">
        <v>11</v>
      </c>
      <c r="F190" s="2" t="s">
        <v>26</v>
      </c>
      <c r="G190">
        <v>1</v>
      </c>
      <c r="H190" s="2" t="s">
        <v>13</v>
      </c>
      <c r="I190" s="2" t="s">
        <v>87</v>
      </c>
      <c r="L190" s="2">
        <f>N(correct_ratio_df__2[[#This Row],[correct_ratio]]&gt;0)</f>
        <v>1</v>
      </c>
      <c r="M190" s="2">
        <f>N(correct_ratio_df__2[[#This Row],[correct_ratio]]=1)</f>
        <v>1</v>
      </c>
      <c r="N190" s="2">
        <f>correct_ratio_df__2[[#This Row],[calc available]]-correct_ratio_df__2[[#This Row],[clac stable]]</f>
        <v>0</v>
      </c>
    </row>
    <row r="191" spans="1:14" x14ac:dyDescent="0.2">
      <c r="A191">
        <v>189</v>
      </c>
      <c r="B191" s="2" t="s">
        <v>70</v>
      </c>
      <c r="C191" s="2" t="s">
        <v>9</v>
      </c>
      <c r="D191" s="2" t="s">
        <v>17</v>
      </c>
      <c r="E191" s="2" t="s">
        <v>15</v>
      </c>
      <c r="F191" s="2" t="s">
        <v>26</v>
      </c>
      <c r="G191">
        <v>1</v>
      </c>
      <c r="H191" s="2" t="s">
        <v>13</v>
      </c>
      <c r="I191" s="2" t="s">
        <v>87</v>
      </c>
      <c r="L191" s="2">
        <f>N(correct_ratio_df__2[[#This Row],[correct_ratio]]&gt;0)</f>
        <v>1</v>
      </c>
      <c r="M191" s="2">
        <f>N(correct_ratio_df__2[[#This Row],[correct_ratio]]=1)</f>
        <v>1</v>
      </c>
      <c r="N191" s="2">
        <f>correct_ratio_df__2[[#This Row],[calc available]]-correct_ratio_df__2[[#This Row],[clac stable]]</f>
        <v>0</v>
      </c>
    </row>
    <row r="192" spans="1:14" x14ac:dyDescent="0.2">
      <c r="A192">
        <v>190</v>
      </c>
      <c r="B192" s="2" t="s">
        <v>71</v>
      </c>
      <c r="C192" s="2" t="s">
        <v>9</v>
      </c>
      <c r="D192" s="2" t="s">
        <v>17</v>
      </c>
      <c r="E192" s="2" t="s">
        <v>21</v>
      </c>
      <c r="F192" s="2" t="s">
        <v>26</v>
      </c>
      <c r="G192">
        <v>0.66666666666666663</v>
      </c>
      <c r="H192" s="2" t="s">
        <v>13</v>
      </c>
      <c r="I192" s="2" t="s">
        <v>87</v>
      </c>
      <c r="L192" s="2">
        <f>N(correct_ratio_df__2[[#This Row],[correct_ratio]]&gt;0)</f>
        <v>1</v>
      </c>
      <c r="M192" s="2">
        <f>N(correct_ratio_df__2[[#This Row],[correct_ratio]]=1)</f>
        <v>0</v>
      </c>
      <c r="N192" s="2">
        <f>correct_ratio_df__2[[#This Row],[calc available]]-correct_ratio_df__2[[#This Row],[clac stable]]</f>
        <v>1</v>
      </c>
    </row>
    <row r="193" spans="1:14" x14ac:dyDescent="0.2">
      <c r="A193">
        <v>191</v>
      </c>
      <c r="B193" s="2" t="s">
        <v>72</v>
      </c>
      <c r="C193" s="2" t="s">
        <v>19</v>
      </c>
      <c r="D193" s="2" t="s">
        <v>17</v>
      </c>
      <c r="E193" s="2" t="s">
        <v>11</v>
      </c>
      <c r="F193" s="2" t="s">
        <v>26</v>
      </c>
      <c r="G193">
        <v>1</v>
      </c>
      <c r="H193" s="2" t="s">
        <v>13</v>
      </c>
      <c r="I193" s="2" t="s">
        <v>87</v>
      </c>
      <c r="L193" s="2">
        <f>N(correct_ratio_df__2[[#This Row],[correct_ratio]]&gt;0)</f>
        <v>1</v>
      </c>
      <c r="M193" s="2">
        <f>N(correct_ratio_df__2[[#This Row],[correct_ratio]]=1)</f>
        <v>1</v>
      </c>
      <c r="N193" s="2">
        <f>correct_ratio_df__2[[#This Row],[calc available]]-correct_ratio_df__2[[#This Row],[clac stable]]</f>
        <v>0</v>
      </c>
    </row>
    <row r="194" spans="1:14" x14ac:dyDescent="0.2">
      <c r="A194">
        <v>192</v>
      </c>
      <c r="B194" s="2" t="s">
        <v>73</v>
      </c>
      <c r="C194" s="2" t="s">
        <v>16</v>
      </c>
      <c r="D194" s="2" t="s">
        <v>17</v>
      </c>
      <c r="E194" s="2" t="s">
        <v>11</v>
      </c>
      <c r="F194" s="2" t="s">
        <v>26</v>
      </c>
      <c r="G194">
        <v>1</v>
      </c>
      <c r="H194" s="2" t="s">
        <v>13</v>
      </c>
      <c r="I194" s="2" t="s">
        <v>87</v>
      </c>
      <c r="L194" s="2">
        <f>N(correct_ratio_df__2[[#This Row],[correct_ratio]]&gt;0)</f>
        <v>1</v>
      </c>
      <c r="M194" s="2">
        <f>N(correct_ratio_df__2[[#This Row],[correct_ratio]]=1)</f>
        <v>1</v>
      </c>
      <c r="N194" s="2">
        <f>correct_ratio_df__2[[#This Row],[calc available]]-correct_ratio_df__2[[#This Row],[clac stable]]</f>
        <v>0</v>
      </c>
    </row>
    <row r="195" spans="1:14" x14ac:dyDescent="0.2">
      <c r="A195">
        <v>193</v>
      </c>
      <c r="B195" s="2" t="s">
        <v>74</v>
      </c>
      <c r="C195" s="2" t="s">
        <v>22</v>
      </c>
      <c r="D195" s="2" t="s">
        <v>17</v>
      </c>
      <c r="E195" s="2" t="s">
        <v>21</v>
      </c>
      <c r="F195" s="2" t="s">
        <v>26</v>
      </c>
      <c r="G195">
        <v>1</v>
      </c>
      <c r="H195" s="2" t="s">
        <v>13</v>
      </c>
      <c r="I195" s="2" t="s">
        <v>87</v>
      </c>
      <c r="L195" s="2">
        <f>N(correct_ratio_df__2[[#This Row],[correct_ratio]]&gt;0)</f>
        <v>1</v>
      </c>
      <c r="M195" s="2">
        <f>N(correct_ratio_df__2[[#This Row],[correct_ratio]]=1)</f>
        <v>1</v>
      </c>
      <c r="N195" s="2">
        <f>correct_ratio_df__2[[#This Row],[calc available]]-correct_ratio_df__2[[#This Row],[clac stable]]</f>
        <v>0</v>
      </c>
    </row>
    <row r="196" spans="1:14" x14ac:dyDescent="0.2">
      <c r="A196">
        <v>194</v>
      </c>
      <c r="B196" s="2" t="s">
        <v>75</v>
      </c>
      <c r="C196" s="2" t="s">
        <v>14</v>
      </c>
      <c r="D196" s="2" t="s">
        <v>17</v>
      </c>
      <c r="E196" s="2" t="s">
        <v>21</v>
      </c>
      <c r="F196" s="2" t="s">
        <v>26</v>
      </c>
      <c r="G196">
        <v>1</v>
      </c>
      <c r="H196" s="2" t="s">
        <v>13</v>
      </c>
      <c r="I196" s="2" t="s">
        <v>87</v>
      </c>
      <c r="L196" s="2">
        <f>N(correct_ratio_df__2[[#This Row],[correct_ratio]]&gt;0)</f>
        <v>1</v>
      </c>
      <c r="M196" s="2">
        <f>N(correct_ratio_df__2[[#This Row],[correct_ratio]]=1)</f>
        <v>1</v>
      </c>
      <c r="N196" s="2">
        <f>correct_ratio_df__2[[#This Row],[calc available]]-correct_ratio_df__2[[#This Row],[clac stable]]</f>
        <v>0</v>
      </c>
    </row>
    <row r="197" spans="1:14" x14ac:dyDescent="0.2">
      <c r="A197">
        <v>195</v>
      </c>
      <c r="B197" s="2" t="s">
        <v>76</v>
      </c>
      <c r="C197" s="2" t="s">
        <v>14</v>
      </c>
      <c r="D197" s="2" t="s">
        <v>10</v>
      </c>
      <c r="E197" s="2" t="s">
        <v>21</v>
      </c>
      <c r="F197" s="2" t="s">
        <v>26</v>
      </c>
      <c r="G197">
        <v>1</v>
      </c>
      <c r="H197" s="2" t="s">
        <v>13</v>
      </c>
      <c r="I197" s="2" t="s">
        <v>87</v>
      </c>
      <c r="L197" s="2">
        <f>N(correct_ratio_df__2[[#This Row],[correct_ratio]]&gt;0)</f>
        <v>1</v>
      </c>
      <c r="M197" s="2">
        <f>N(correct_ratio_df__2[[#This Row],[correct_ratio]]=1)</f>
        <v>1</v>
      </c>
      <c r="N197" s="2">
        <f>correct_ratio_df__2[[#This Row],[calc available]]-correct_ratio_df__2[[#This Row],[clac stable]]</f>
        <v>0</v>
      </c>
    </row>
    <row r="198" spans="1:14" x14ac:dyDescent="0.2">
      <c r="A198">
        <v>196</v>
      </c>
      <c r="B198" s="2" t="s">
        <v>77</v>
      </c>
      <c r="C198" s="2" t="s">
        <v>9</v>
      </c>
      <c r="D198" s="2" t="s">
        <v>17</v>
      </c>
      <c r="E198" s="2" t="s">
        <v>15</v>
      </c>
      <c r="F198" s="2" t="s">
        <v>26</v>
      </c>
      <c r="G198">
        <v>0.33333333333333331</v>
      </c>
      <c r="H198" s="2" t="s">
        <v>13</v>
      </c>
      <c r="I198" s="2" t="s">
        <v>87</v>
      </c>
      <c r="L198" s="2">
        <f>N(correct_ratio_df__2[[#This Row],[correct_ratio]]&gt;0)</f>
        <v>1</v>
      </c>
      <c r="M198" s="2">
        <f>N(correct_ratio_df__2[[#This Row],[correct_ratio]]=1)</f>
        <v>0</v>
      </c>
      <c r="N198" s="2">
        <f>correct_ratio_df__2[[#This Row],[calc available]]-correct_ratio_df__2[[#This Row],[clac stable]]</f>
        <v>1</v>
      </c>
    </row>
    <row r="199" spans="1:14" x14ac:dyDescent="0.2">
      <c r="A199">
        <v>197</v>
      </c>
      <c r="B199" s="2" t="s">
        <v>78</v>
      </c>
      <c r="C199" s="2" t="s">
        <v>9</v>
      </c>
      <c r="D199" s="2" t="s">
        <v>17</v>
      </c>
      <c r="E199" s="2" t="s">
        <v>21</v>
      </c>
      <c r="F199" s="2" t="s">
        <v>26</v>
      </c>
      <c r="G199">
        <v>1</v>
      </c>
      <c r="H199" s="2" t="s">
        <v>13</v>
      </c>
      <c r="I199" s="2" t="s">
        <v>87</v>
      </c>
      <c r="L199" s="2">
        <f>N(correct_ratio_df__2[[#This Row],[correct_ratio]]&gt;0)</f>
        <v>1</v>
      </c>
      <c r="M199" s="2">
        <f>N(correct_ratio_df__2[[#This Row],[correct_ratio]]=1)</f>
        <v>1</v>
      </c>
      <c r="N199" s="2">
        <f>correct_ratio_df__2[[#This Row],[calc available]]-correct_ratio_df__2[[#This Row],[clac stable]]</f>
        <v>0</v>
      </c>
    </row>
    <row r="200" spans="1:14" x14ac:dyDescent="0.2">
      <c r="A200">
        <v>198</v>
      </c>
      <c r="B200" s="2" t="s">
        <v>79</v>
      </c>
      <c r="C200" s="2" t="s">
        <v>14</v>
      </c>
      <c r="D200" s="2" t="s">
        <v>17</v>
      </c>
      <c r="E200" s="2" t="s">
        <v>11</v>
      </c>
      <c r="F200" s="2" t="s">
        <v>26</v>
      </c>
      <c r="G200">
        <v>1</v>
      </c>
      <c r="H200" s="2" t="s">
        <v>13</v>
      </c>
      <c r="I200" s="2" t="s">
        <v>87</v>
      </c>
      <c r="L200" s="2">
        <f>N(correct_ratio_df__2[[#This Row],[correct_ratio]]&gt;0)</f>
        <v>1</v>
      </c>
      <c r="M200" s="2">
        <f>N(correct_ratio_df__2[[#This Row],[correct_ratio]]=1)</f>
        <v>1</v>
      </c>
      <c r="N200" s="2">
        <f>correct_ratio_df__2[[#This Row],[calc available]]-correct_ratio_df__2[[#This Row],[clac stable]]</f>
        <v>0</v>
      </c>
    </row>
    <row r="201" spans="1:14" x14ac:dyDescent="0.2">
      <c r="A201">
        <v>199</v>
      </c>
      <c r="B201" s="2" t="s">
        <v>80</v>
      </c>
      <c r="C201" s="2" t="s">
        <v>22</v>
      </c>
      <c r="D201" s="2" t="s">
        <v>20</v>
      </c>
      <c r="E201" s="2" t="s">
        <v>11</v>
      </c>
      <c r="F201" s="2" t="s">
        <v>26</v>
      </c>
      <c r="G201">
        <v>0</v>
      </c>
      <c r="H201" s="2" t="s">
        <v>13</v>
      </c>
      <c r="I201" s="2" t="s">
        <v>87</v>
      </c>
      <c r="L201" s="2">
        <f>N(correct_ratio_df__2[[#This Row],[correct_ratio]]&gt;0)</f>
        <v>0</v>
      </c>
      <c r="M201" s="2">
        <f>N(correct_ratio_df__2[[#This Row],[correct_ratio]]=1)</f>
        <v>0</v>
      </c>
      <c r="N201" s="2">
        <f>correct_ratio_df__2[[#This Row],[calc available]]-correct_ratio_df__2[[#This Row],[clac stable]]</f>
        <v>0</v>
      </c>
    </row>
    <row r="202" spans="1:14" x14ac:dyDescent="0.2">
      <c r="A202">
        <v>200</v>
      </c>
      <c r="B202" s="2" t="s">
        <v>41</v>
      </c>
      <c r="C202" s="2" t="s">
        <v>9</v>
      </c>
      <c r="D202" s="2" t="s">
        <v>10</v>
      </c>
      <c r="E202" s="2" t="s">
        <v>11</v>
      </c>
      <c r="F202" s="2" t="s">
        <v>27</v>
      </c>
      <c r="G202">
        <v>1</v>
      </c>
      <c r="H202" s="2" t="s">
        <v>24</v>
      </c>
      <c r="I202" s="2" t="s">
        <v>85</v>
      </c>
      <c r="L202" s="2">
        <f>N(correct_ratio_df__2[[#This Row],[correct_ratio]]&gt;0)</f>
        <v>1</v>
      </c>
      <c r="M202" s="2">
        <f>N(correct_ratio_df__2[[#This Row],[correct_ratio]]=1)</f>
        <v>1</v>
      </c>
      <c r="N202" s="2">
        <f>correct_ratio_df__2[[#This Row],[calc available]]-correct_ratio_df__2[[#This Row],[clac stable]]</f>
        <v>0</v>
      </c>
    </row>
    <row r="203" spans="1:14" x14ac:dyDescent="0.2">
      <c r="A203">
        <v>201</v>
      </c>
      <c r="B203" s="2" t="s">
        <v>42</v>
      </c>
      <c r="C203" s="2" t="s">
        <v>14</v>
      </c>
      <c r="D203" s="2" t="s">
        <v>10</v>
      </c>
      <c r="E203" s="2" t="s">
        <v>15</v>
      </c>
      <c r="F203" s="2" t="s">
        <v>27</v>
      </c>
      <c r="G203">
        <v>1</v>
      </c>
      <c r="H203" s="2" t="s">
        <v>24</v>
      </c>
      <c r="I203" s="2" t="s">
        <v>85</v>
      </c>
      <c r="L203" s="2">
        <f>N(correct_ratio_df__2[[#This Row],[correct_ratio]]&gt;0)</f>
        <v>1</v>
      </c>
      <c r="M203" s="2">
        <f>N(correct_ratio_df__2[[#This Row],[correct_ratio]]=1)</f>
        <v>1</v>
      </c>
      <c r="N203" s="2">
        <f>correct_ratio_df__2[[#This Row],[calc available]]-correct_ratio_df__2[[#This Row],[clac stable]]</f>
        <v>0</v>
      </c>
    </row>
    <row r="204" spans="1:14" x14ac:dyDescent="0.2">
      <c r="A204">
        <v>202</v>
      </c>
      <c r="B204" s="2" t="s">
        <v>43</v>
      </c>
      <c r="C204" s="2" t="s">
        <v>16</v>
      </c>
      <c r="D204" s="2" t="s">
        <v>17</v>
      </c>
      <c r="E204" s="2" t="s">
        <v>11</v>
      </c>
      <c r="F204" s="2" t="s">
        <v>27</v>
      </c>
      <c r="G204">
        <v>1</v>
      </c>
      <c r="H204" s="2" t="s">
        <v>24</v>
      </c>
      <c r="I204" s="2" t="s">
        <v>85</v>
      </c>
      <c r="L204" s="2">
        <f>N(correct_ratio_df__2[[#This Row],[correct_ratio]]&gt;0)</f>
        <v>1</v>
      </c>
      <c r="M204" s="2">
        <f>N(correct_ratio_df__2[[#This Row],[correct_ratio]]=1)</f>
        <v>1</v>
      </c>
      <c r="N204" s="2">
        <f>correct_ratio_df__2[[#This Row],[calc available]]-correct_ratio_df__2[[#This Row],[clac stable]]</f>
        <v>0</v>
      </c>
    </row>
    <row r="205" spans="1:14" x14ac:dyDescent="0.2">
      <c r="A205">
        <v>203</v>
      </c>
      <c r="B205" s="2" t="s">
        <v>44</v>
      </c>
      <c r="C205" s="2" t="s">
        <v>16</v>
      </c>
      <c r="D205" s="2" t="s">
        <v>10</v>
      </c>
      <c r="E205" s="2" t="s">
        <v>15</v>
      </c>
      <c r="F205" s="2" t="s">
        <v>27</v>
      </c>
      <c r="G205">
        <v>1</v>
      </c>
      <c r="H205" s="2" t="s">
        <v>24</v>
      </c>
      <c r="I205" s="2" t="s">
        <v>85</v>
      </c>
      <c r="L205" s="2">
        <f>N(correct_ratio_df__2[[#This Row],[correct_ratio]]&gt;0)</f>
        <v>1</v>
      </c>
      <c r="M205" s="2">
        <f>N(correct_ratio_df__2[[#This Row],[correct_ratio]]=1)</f>
        <v>1</v>
      </c>
      <c r="N205" s="2">
        <f>correct_ratio_df__2[[#This Row],[calc available]]-correct_ratio_df__2[[#This Row],[clac stable]]</f>
        <v>0</v>
      </c>
    </row>
    <row r="206" spans="1:14" x14ac:dyDescent="0.2">
      <c r="A206">
        <v>204</v>
      </c>
      <c r="B206" s="2" t="s">
        <v>45</v>
      </c>
      <c r="C206" s="2" t="s">
        <v>14</v>
      </c>
      <c r="D206" s="2" t="s">
        <v>18</v>
      </c>
      <c r="E206" s="2" t="s">
        <v>15</v>
      </c>
      <c r="F206" s="2" t="s">
        <v>27</v>
      </c>
      <c r="G206">
        <v>0.66666666666666663</v>
      </c>
      <c r="H206" s="2" t="s">
        <v>24</v>
      </c>
      <c r="I206" s="2" t="s">
        <v>85</v>
      </c>
      <c r="L206" s="2">
        <f>N(correct_ratio_df__2[[#This Row],[correct_ratio]]&gt;0)</f>
        <v>1</v>
      </c>
      <c r="M206" s="2">
        <f>N(correct_ratio_df__2[[#This Row],[correct_ratio]]=1)</f>
        <v>0</v>
      </c>
      <c r="N206" s="2">
        <f>correct_ratio_df__2[[#This Row],[calc available]]-correct_ratio_df__2[[#This Row],[clac stable]]</f>
        <v>1</v>
      </c>
    </row>
    <row r="207" spans="1:14" x14ac:dyDescent="0.2">
      <c r="A207">
        <v>205</v>
      </c>
      <c r="B207" s="2" t="s">
        <v>46</v>
      </c>
      <c r="C207" s="2" t="s">
        <v>14</v>
      </c>
      <c r="D207" s="2" t="s">
        <v>10</v>
      </c>
      <c r="E207" s="2" t="s">
        <v>15</v>
      </c>
      <c r="F207" s="2" t="s">
        <v>27</v>
      </c>
      <c r="G207">
        <v>1</v>
      </c>
      <c r="H207" s="2" t="s">
        <v>24</v>
      </c>
      <c r="I207" s="2" t="s">
        <v>85</v>
      </c>
      <c r="L207" s="2">
        <f>N(correct_ratio_df__2[[#This Row],[correct_ratio]]&gt;0)</f>
        <v>1</v>
      </c>
      <c r="M207" s="2">
        <f>N(correct_ratio_df__2[[#This Row],[correct_ratio]]=1)</f>
        <v>1</v>
      </c>
      <c r="N207" s="2">
        <f>correct_ratio_df__2[[#This Row],[calc available]]-correct_ratio_df__2[[#This Row],[clac stable]]</f>
        <v>0</v>
      </c>
    </row>
    <row r="208" spans="1:14" x14ac:dyDescent="0.2">
      <c r="A208">
        <v>206</v>
      </c>
      <c r="B208" s="2" t="s">
        <v>47</v>
      </c>
      <c r="C208" s="2" t="s">
        <v>19</v>
      </c>
      <c r="D208" s="2" t="s">
        <v>10</v>
      </c>
      <c r="E208" s="2" t="s">
        <v>15</v>
      </c>
      <c r="F208" s="2" t="s">
        <v>27</v>
      </c>
      <c r="G208">
        <v>0.66666666666666663</v>
      </c>
      <c r="H208" s="2" t="s">
        <v>24</v>
      </c>
      <c r="I208" s="2" t="s">
        <v>85</v>
      </c>
      <c r="L208" s="2">
        <f>N(correct_ratio_df__2[[#This Row],[correct_ratio]]&gt;0)</f>
        <v>1</v>
      </c>
      <c r="M208" s="2">
        <f>N(correct_ratio_df__2[[#This Row],[correct_ratio]]=1)</f>
        <v>0</v>
      </c>
      <c r="N208" s="2">
        <f>correct_ratio_df__2[[#This Row],[calc available]]-correct_ratio_df__2[[#This Row],[clac stable]]</f>
        <v>1</v>
      </c>
    </row>
    <row r="209" spans="1:14" x14ac:dyDescent="0.2">
      <c r="A209">
        <v>207</v>
      </c>
      <c r="B209" s="2" t="s">
        <v>48</v>
      </c>
      <c r="C209" s="2" t="s">
        <v>16</v>
      </c>
      <c r="D209" s="2" t="s">
        <v>20</v>
      </c>
      <c r="E209" s="2" t="s">
        <v>21</v>
      </c>
      <c r="F209" s="2" t="s">
        <v>27</v>
      </c>
      <c r="G209">
        <v>1</v>
      </c>
      <c r="H209" s="2" t="s">
        <v>24</v>
      </c>
      <c r="I209" s="2" t="s">
        <v>85</v>
      </c>
      <c r="L209" s="2">
        <f>N(correct_ratio_df__2[[#This Row],[correct_ratio]]&gt;0)</f>
        <v>1</v>
      </c>
      <c r="M209" s="2">
        <f>N(correct_ratio_df__2[[#This Row],[correct_ratio]]=1)</f>
        <v>1</v>
      </c>
      <c r="N209" s="2">
        <f>correct_ratio_df__2[[#This Row],[calc available]]-correct_ratio_df__2[[#This Row],[clac stable]]</f>
        <v>0</v>
      </c>
    </row>
    <row r="210" spans="1:14" x14ac:dyDescent="0.2">
      <c r="A210">
        <v>208</v>
      </c>
      <c r="B210" s="2" t="s">
        <v>49</v>
      </c>
      <c r="C210" s="2" t="s">
        <v>16</v>
      </c>
      <c r="D210" s="2" t="s">
        <v>10</v>
      </c>
      <c r="E210" s="2" t="s">
        <v>21</v>
      </c>
      <c r="F210" s="2" t="s">
        <v>27</v>
      </c>
      <c r="G210">
        <v>1</v>
      </c>
      <c r="H210" s="2" t="s">
        <v>24</v>
      </c>
      <c r="I210" s="2" t="s">
        <v>85</v>
      </c>
      <c r="L210" s="2">
        <f>N(correct_ratio_df__2[[#This Row],[correct_ratio]]&gt;0)</f>
        <v>1</v>
      </c>
      <c r="M210" s="2">
        <f>N(correct_ratio_df__2[[#This Row],[correct_ratio]]=1)</f>
        <v>1</v>
      </c>
      <c r="N210" s="2">
        <f>correct_ratio_df__2[[#This Row],[calc available]]-correct_ratio_df__2[[#This Row],[clac stable]]</f>
        <v>0</v>
      </c>
    </row>
    <row r="211" spans="1:14" x14ac:dyDescent="0.2">
      <c r="A211">
        <v>209</v>
      </c>
      <c r="B211" s="2" t="s">
        <v>50</v>
      </c>
      <c r="C211" s="2" t="s">
        <v>9</v>
      </c>
      <c r="D211" s="2" t="s">
        <v>17</v>
      </c>
      <c r="E211" s="2" t="s">
        <v>21</v>
      </c>
      <c r="F211" s="2" t="s">
        <v>27</v>
      </c>
      <c r="G211">
        <v>0</v>
      </c>
      <c r="H211" s="2" t="s">
        <v>24</v>
      </c>
      <c r="I211" s="2" t="s">
        <v>85</v>
      </c>
      <c r="L211" s="2">
        <f>N(correct_ratio_df__2[[#This Row],[correct_ratio]]&gt;0)</f>
        <v>0</v>
      </c>
      <c r="M211" s="2">
        <f>N(correct_ratio_df__2[[#This Row],[correct_ratio]]=1)</f>
        <v>0</v>
      </c>
      <c r="N211" s="2">
        <f>correct_ratio_df__2[[#This Row],[calc available]]-correct_ratio_df__2[[#This Row],[clac stable]]</f>
        <v>0</v>
      </c>
    </row>
    <row r="212" spans="1:14" x14ac:dyDescent="0.2">
      <c r="A212">
        <v>210</v>
      </c>
      <c r="B212" s="2" t="s">
        <v>51</v>
      </c>
      <c r="C212" s="2" t="s">
        <v>16</v>
      </c>
      <c r="D212" s="2" t="s">
        <v>17</v>
      </c>
      <c r="E212" s="2" t="s">
        <v>11</v>
      </c>
      <c r="F212" s="2" t="s">
        <v>27</v>
      </c>
      <c r="G212">
        <v>0.66666666666666663</v>
      </c>
      <c r="H212" s="2" t="s">
        <v>24</v>
      </c>
      <c r="I212" s="2" t="s">
        <v>85</v>
      </c>
      <c r="L212" s="2">
        <f>N(correct_ratio_df__2[[#This Row],[correct_ratio]]&gt;0)</f>
        <v>1</v>
      </c>
      <c r="M212" s="2">
        <f>N(correct_ratio_df__2[[#This Row],[correct_ratio]]=1)</f>
        <v>0</v>
      </c>
      <c r="N212" s="2">
        <f>correct_ratio_df__2[[#This Row],[calc available]]-correct_ratio_df__2[[#This Row],[clac stable]]</f>
        <v>1</v>
      </c>
    </row>
    <row r="213" spans="1:14" x14ac:dyDescent="0.2">
      <c r="A213">
        <v>211</v>
      </c>
      <c r="B213" s="2" t="s">
        <v>52</v>
      </c>
      <c r="C213" s="2" t="s">
        <v>9</v>
      </c>
      <c r="D213" s="2" t="s">
        <v>17</v>
      </c>
      <c r="E213" s="2" t="s">
        <v>15</v>
      </c>
      <c r="F213" s="2" t="s">
        <v>27</v>
      </c>
      <c r="G213">
        <v>1</v>
      </c>
      <c r="H213" s="2" t="s">
        <v>24</v>
      </c>
      <c r="I213" s="2" t="s">
        <v>85</v>
      </c>
      <c r="L213" s="2">
        <f>N(correct_ratio_df__2[[#This Row],[correct_ratio]]&gt;0)</f>
        <v>1</v>
      </c>
      <c r="M213" s="2">
        <f>N(correct_ratio_df__2[[#This Row],[correct_ratio]]=1)</f>
        <v>1</v>
      </c>
      <c r="N213" s="2">
        <f>correct_ratio_df__2[[#This Row],[calc available]]-correct_ratio_df__2[[#This Row],[clac stable]]</f>
        <v>0</v>
      </c>
    </row>
    <row r="214" spans="1:14" x14ac:dyDescent="0.2">
      <c r="A214">
        <v>212</v>
      </c>
      <c r="B214" s="2" t="s">
        <v>53</v>
      </c>
      <c r="C214" s="2" t="s">
        <v>19</v>
      </c>
      <c r="D214" s="2" t="s">
        <v>17</v>
      </c>
      <c r="E214" s="2" t="s">
        <v>21</v>
      </c>
      <c r="F214" s="2" t="s">
        <v>27</v>
      </c>
      <c r="G214">
        <v>0.66666666666666663</v>
      </c>
      <c r="H214" s="2" t="s">
        <v>24</v>
      </c>
      <c r="I214" s="2" t="s">
        <v>85</v>
      </c>
      <c r="L214" s="2">
        <f>N(correct_ratio_df__2[[#This Row],[correct_ratio]]&gt;0)</f>
        <v>1</v>
      </c>
      <c r="M214" s="2">
        <f>N(correct_ratio_df__2[[#This Row],[correct_ratio]]=1)</f>
        <v>0</v>
      </c>
      <c r="N214" s="2">
        <f>correct_ratio_df__2[[#This Row],[calc available]]-correct_ratio_df__2[[#This Row],[clac stable]]</f>
        <v>1</v>
      </c>
    </row>
    <row r="215" spans="1:14" x14ac:dyDescent="0.2">
      <c r="A215">
        <v>213</v>
      </c>
      <c r="B215" s="2" t="s">
        <v>54</v>
      </c>
      <c r="C215" s="2" t="s">
        <v>14</v>
      </c>
      <c r="D215" s="2" t="s">
        <v>17</v>
      </c>
      <c r="E215" s="2" t="s">
        <v>15</v>
      </c>
      <c r="F215" s="2" t="s">
        <v>27</v>
      </c>
      <c r="G215">
        <v>0.33333333333333331</v>
      </c>
      <c r="H215" s="2" t="s">
        <v>24</v>
      </c>
      <c r="I215" s="2" t="s">
        <v>85</v>
      </c>
      <c r="L215" s="2">
        <f>N(correct_ratio_df__2[[#This Row],[correct_ratio]]&gt;0)</f>
        <v>1</v>
      </c>
      <c r="M215" s="2">
        <f>N(correct_ratio_df__2[[#This Row],[correct_ratio]]=1)</f>
        <v>0</v>
      </c>
      <c r="N215" s="2">
        <f>correct_ratio_df__2[[#This Row],[calc available]]-correct_ratio_df__2[[#This Row],[clac stable]]</f>
        <v>1</v>
      </c>
    </row>
    <row r="216" spans="1:14" x14ac:dyDescent="0.2">
      <c r="A216">
        <v>214</v>
      </c>
      <c r="B216" s="2" t="s">
        <v>55</v>
      </c>
      <c r="C216" s="2" t="s">
        <v>9</v>
      </c>
      <c r="D216" s="2" t="s">
        <v>18</v>
      </c>
      <c r="E216" s="2" t="s">
        <v>21</v>
      </c>
      <c r="F216" s="2" t="s">
        <v>27</v>
      </c>
      <c r="G216">
        <v>0</v>
      </c>
      <c r="H216" s="2" t="s">
        <v>24</v>
      </c>
      <c r="I216" s="2" t="s">
        <v>85</v>
      </c>
      <c r="L216" s="2">
        <f>N(correct_ratio_df__2[[#This Row],[correct_ratio]]&gt;0)</f>
        <v>0</v>
      </c>
      <c r="M216" s="2">
        <f>N(correct_ratio_df__2[[#This Row],[correct_ratio]]=1)</f>
        <v>0</v>
      </c>
      <c r="N216" s="2">
        <f>correct_ratio_df__2[[#This Row],[calc available]]-correct_ratio_df__2[[#This Row],[clac stable]]</f>
        <v>0</v>
      </c>
    </row>
    <row r="217" spans="1:14" x14ac:dyDescent="0.2">
      <c r="A217">
        <v>215</v>
      </c>
      <c r="B217" s="2" t="s">
        <v>56</v>
      </c>
      <c r="C217" s="2" t="s">
        <v>19</v>
      </c>
      <c r="D217" s="2" t="s">
        <v>17</v>
      </c>
      <c r="E217" s="2" t="s">
        <v>21</v>
      </c>
      <c r="F217" s="2" t="s">
        <v>27</v>
      </c>
      <c r="G217">
        <v>1</v>
      </c>
      <c r="H217" s="2" t="s">
        <v>24</v>
      </c>
      <c r="I217" s="2" t="s">
        <v>85</v>
      </c>
      <c r="L217" s="2">
        <f>N(correct_ratio_df__2[[#This Row],[correct_ratio]]&gt;0)</f>
        <v>1</v>
      </c>
      <c r="M217" s="2">
        <f>N(correct_ratio_df__2[[#This Row],[correct_ratio]]=1)</f>
        <v>1</v>
      </c>
      <c r="N217" s="2">
        <f>correct_ratio_df__2[[#This Row],[calc available]]-correct_ratio_df__2[[#This Row],[clac stable]]</f>
        <v>0</v>
      </c>
    </row>
    <row r="218" spans="1:14" x14ac:dyDescent="0.2">
      <c r="A218">
        <v>216</v>
      </c>
      <c r="B218" s="2" t="s">
        <v>57</v>
      </c>
      <c r="C218" s="2" t="s">
        <v>9</v>
      </c>
      <c r="D218" s="2" t="s">
        <v>17</v>
      </c>
      <c r="E218" s="2" t="s">
        <v>21</v>
      </c>
      <c r="F218" s="2" t="s">
        <v>27</v>
      </c>
      <c r="G218">
        <v>0.66666666666666663</v>
      </c>
      <c r="H218" s="2" t="s">
        <v>24</v>
      </c>
      <c r="I218" s="2" t="s">
        <v>85</v>
      </c>
      <c r="L218" s="2">
        <f>N(correct_ratio_df__2[[#This Row],[correct_ratio]]&gt;0)</f>
        <v>1</v>
      </c>
      <c r="M218" s="2">
        <f>N(correct_ratio_df__2[[#This Row],[correct_ratio]]=1)</f>
        <v>0</v>
      </c>
      <c r="N218" s="2">
        <f>correct_ratio_df__2[[#This Row],[calc available]]-correct_ratio_df__2[[#This Row],[clac stable]]</f>
        <v>1</v>
      </c>
    </row>
    <row r="219" spans="1:14" x14ac:dyDescent="0.2">
      <c r="A219">
        <v>217</v>
      </c>
      <c r="B219" s="2" t="s">
        <v>58</v>
      </c>
      <c r="C219" s="2" t="s">
        <v>9</v>
      </c>
      <c r="D219" s="2" t="s">
        <v>17</v>
      </c>
      <c r="E219" s="2" t="s">
        <v>21</v>
      </c>
      <c r="F219" s="2" t="s">
        <v>27</v>
      </c>
      <c r="G219">
        <v>0.33333333333333331</v>
      </c>
      <c r="H219" s="2" t="s">
        <v>24</v>
      </c>
      <c r="I219" s="2" t="s">
        <v>85</v>
      </c>
      <c r="L219" s="2">
        <f>N(correct_ratio_df__2[[#This Row],[correct_ratio]]&gt;0)</f>
        <v>1</v>
      </c>
      <c r="M219" s="2">
        <f>N(correct_ratio_df__2[[#This Row],[correct_ratio]]=1)</f>
        <v>0</v>
      </c>
      <c r="N219" s="2">
        <f>correct_ratio_df__2[[#This Row],[calc available]]-correct_ratio_df__2[[#This Row],[clac stable]]</f>
        <v>1</v>
      </c>
    </row>
    <row r="220" spans="1:14" x14ac:dyDescent="0.2">
      <c r="A220">
        <v>218</v>
      </c>
      <c r="B220" s="2" t="s">
        <v>59</v>
      </c>
      <c r="C220" s="2" t="s">
        <v>19</v>
      </c>
      <c r="D220" s="2" t="s">
        <v>17</v>
      </c>
      <c r="E220" s="2" t="s">
        <v>15</v>
      </c>
      <c r="F220" s="2" t="s">
        <v>27</v>
      </c>
      <c r="G220">
        <v>1</v>
      </c>
      <c r="H220" s="2" t="s">
        <v>24</v>
      </c>
      <c r="I220" s="2" t="s">
        <v>85</v>
      </c>
      <c r="L220" s="2">
        <f>N(correct_ratio_df__2[[#This Row],[correct_ratio]]&gt;0)</f>
        <v>1</v>
      </c>
      <c r="M220" s="2">
        <f>N(correct_ratio_df__2[[#This Row],[correct_ratio]]=1)</f>
        <v>1</v>
      </c>
      <c r="N220" s="2">
        <f>correct_ratio_df__2[[#This Row],[calc available]]-correct_ratio_df__2[[#This Row],[clac stable]]</f>
        <v>0</v>
      </c>
    </row>
    <row r="221" spans="1:14" x14ac:dyDescent="0.2">
      <c r="A221">
        <v>219</v>
      </c>
      <c r="B221" s="2" t="s">
        <v>60</v>
      </c>
      <c r="C221" s="2" t="s">
        <v>9</v>
      </c>
      <c r="D221" s="2" t="s">
        <v>17</v>
      </c>
      <c r="E221" s="2" t="s">
        <v>21</v>
      </c>
      <c r="F221" s="2" t="s">
        <v>27</v>
      </c>
      <c r="G221">
        <v>0</v>
      </c>
      <c r="H221" s="2" t="s">
        <v>24</v>
      </c>
      <c r="I221" s="2" t="s">
        <v>85</v>
      </c>
      <c r="L221" s="2">
        <f>N(correct_ratio_df__2[[#This Row],[correct_ratio]]&gt;0)</f>
        <v>0</v>
      </c>
      <c r="M221" s="2">
        <f>N(correct_ratio_df__2[[#This Row],[correct_ratio]]=1)</f>
        <v>0</v>
      </c>
      <c r="N221" s="2">
        <f>correct_ratio_df__2[[#This Row],[calc available]]-correct_ratio_df__2[[#This Row],[clac stable]]</f>
        <v>0</v>
      </c>
    </row>
    <row r="222" spans="1:14" x14ac:dyDescent="0.2">
      <c r="A222">
        <v>220</v>
      </c>
      <c r="B222" s="2" t="s">
        <v>61</v>
      </c>
      <c r="C222" s="2" t="s">
        <v>14</v>
      </c>
      <c r="D222" s="2" t="s">
        <v>10</v>
      </c>
      <c r="E222" s="2" t="s">
        <v>11</v>
      </c>
      <c r="F222" s="2" t="s">
        <v>27</v>
      </c>
      <c r="G222">
        <v>1</v>
      </c>
      <c r="H222" s="2" t="s">
        <v>24</v>
      </c>
      <c r="I222" s="2" t="s">
        <v>85</v>
      </c>
      <c r="L222" s="2">
        <f>N(correct_ratio_df__2[[#This Row],[correct_ratio]]&gt;0)</f>
        <v>1</v>
      </c>
      <c r="M222" s="2">
        <f>N(correct_ratio_df__2[[#This Row],[correct_ratio]]=1)</f>
        <v>1</v>
      </c>
      <c r="N222" s="2">
        <f>correct_ratio_df__2[[#This Row],[calc available]]-correct_ratio_df__2[[#This Row],[clac stable]]</f>
        <v>0</v>
      </c>
    </row>
    <row r="223" spans="1:14" x14ac:dyDescent="0.2">
      <c r="A223">
        <v>221</v>
      </c>
      <c r="B223" s="2" t="s">
        <v>62</v>
      </c>
      <c r="C223" s="2" t="s">
        <v>16</v>
      </c>
      <c r="D223" s="2" t="s">
        <v>18</v>
      </c>
      <c r="E223" s="2" t="s">
        <v>11</v>
      </c>
      <c r="F223" s="2" t="s">
        <v>27</v>
      </c>
      <c r="G223">
        <v>1</v>
      </c>
      <c r="H223" s="2" t="s">
        <v>24</v>
      </c>
      <c r="I223" s="2" t="s">
        <v>85</v>
      </c>
      <c r="L223" s="2">
        <f>N(correct_ratio_df__2[[#This Row],[correct_ratio]]&gt;0)</f>
        <v>1</v>
      </c>
      <c r="M223" s="2">
        <f>N(correct_ratio_df__2[[#This Row],[correct_ratio]]=1)</f>
        <v>1</v>
      </c>
      <c r="N223" s="2">
        <f>correct_ratio_df__2[[#This Row],[calc available]]-correct_ratio_df__2[[#This Row],[clac stable]]</f>
        <v>0</v>
      </c>
    </row>
    <row r="224" spans="1:14" x14ac:dyDescent="0.2">
      <c r="A224">
        <v>222</v>
      </c>
      <c r="B224" s="2" t="s">
        <v>63</v>
      </c>
      <c r="C224" s="2" t="s">
        <v>9</v>
      </c>
      <c r="D224" s="2" t="s">
        <v>20</v>
      </c>
      <c r="E224" s="2" t="s">
        <v>15</v>
      </c>
      <c r="F224" s="2" t="s">
        <v>27</v>
      </c>
      <c r="G224">
        <v>0</v>
      </c>
      <c r="H224" s="2" t="s">
        <v>24</v>
      </c>
      <c r="I224" s="2" t="s">
        <v>85</v>
      </c>
      <c r="L224" s="2">
        <f>N(correct_ratio_df__2[[#This Row],[correct_ratio]]&gt;0)</f>
        <v>0</v>
      </c>
      <c r="M224" s="2">
        <f>N(correct_ratio_df__2[[#This Row],[correct_ratio]]=1)</f>
        <v>0</v>
      </c>
      <c r="N224" s="2">
        <f>correct_ratio_df__2[[#This Row],[calc available]]-correct_ratio_df__2[[#This Row],[clac stable]]</f>
        <v>0</v>
      </c>
    </row>
    <row r="225" spans="1:14" x14ac:dyDescent="0.2">
      <c r="A225">
        <v>223</v>
      </c>
      <c r="B225" s="2" t="s">
        <v>64</v>
      </c>
      <c r="C225" s="2" t="s">
        <v>14</v>
      </c>
      <c r="D225" s="2" t="s">
        <v>17</v>
      </c>
      <c r="E225" s="2" t="s">
        <v>11</v>
      </c>
      <c r="F225" s="2" t="s">
        <v>27</v>
      </c>
      <c r="G225">
        <v>1</v>
      </c>
      <c r="H225" s="2" t="s">
        <v>24</v>
      </c>
      <c r="I225" s="2" t="s">
        <v>85</v>
      </c>
      <c r="L225" s="2">
        <f>N(correct_ratio_df__2[[#This Row],[correct_ratio]]&gt;0)</f>
        <v>1</v>
      </c>
      <c r="M225" s="2">
        <f>N(correct_ratio_df__2[[#This Row],[correct_ratio]]=1)</f>
        <v>1</v>
      </c>
      <c r="N225" s="2">
        <f>correct_ratio_df__2[[#This Row],[calc available]]-correct_ratio_df__2[[#This Row],[clac stable]]</f>
        <v>0</v>
      </c>
    </row>
    <row r="226" spans="1:14" x14ac:dyDescent="0.2">
      <c r="A226">
        <v>224</v>
      </c>
      <c r="B226" s="2" t="s">
        <v>65</v>
      </c>
      <c r="C226" s="2" t="s">
        <v>19</v>
      </c>
      <c r="D226" s="2" t="s">
        <v>18</v>
      </c>
      <c r="E226" s="2" t="s">
        <v>21</v>
      </c>
      <c r="F226" s="2" t="s">
        <v>27</v>
      </c>
      <c r="G226">
        <v>1</v>
      </c>
      <c r="H226" s="2" t="s">
        <v>24</v>
      </c>
      <c r="I226" s="2" t="s">
        <v>85</v>
      </c>
      <c r="L226" s="2">
        <f>N(correct_ratio_df__2[[#This Row],[correct_ratio]]&gt;0)</f>
        <v>1</v>
      </c>
      <c r="M226" s="2">
        <f>N(correct_ratio_df__2[[#This Row],[correct_ratio]]=1)</f>
        <v>1</v>
      </c>
      <c r="N226" s="2">
        <f>correct_ratio_df__2[[#This Row],[calc available]]-correct_ratio_df__2[[#This Row],[clac stable]]</f>
        <v>0</v>
      </c>
    </row>
    <row r="227" spans="1:14" x14ac:dyDescent="0.2">
      <c r="A227">
        <v>225</v>
      </c>
      <c r="B227" s="2" t="s">
        <v>66</v>
      </c>
      <c r="C227" s="2" t="s">
        <v>14</v>
      </c>
      <c r="D227" s="2" t="s">
        <v>18</v>
      </c>
      <c r="E227" s="2" t="s">
        <v>15</v>
      </c>
      <c r="F227" s="2" t="s">
        <v>27</v>
      </c>
      <c r="G227">
        <v>1</v>
      </c>
      <c r="H227" s="2" t="s">
        <v>24</v>
      </c>
      <c r="I227" s="2" t="s">
        <v>85</v>
      </c>
      <c r="L227" s="2">
        <f>N(correct_ratio_df__2[[#This Row],[correct_ratio]]&gt;0)</f>
        <v>1</v>
      </c>
      <c r="M227" s="2">
        <f>N(correct_ratio_df__2[[#This Row],[correct_ratio]]=1)</f>
        <v>1</v>
      </c>
      <c r="N227" s="2">
        <f>correct_ratio_df__2[[#This Row],[calc available]]-correct_ratio_df__2[[#This Row],[clac stable]]</f>
        <v>0</v>
      </c>
    </row>
    <row r="228" spans="1:14" x14ac:dyDescent="0.2">
      <c r="A228">
        <v>226</v>
      </c>
      <c r="B228" s="2" t="s">
        <v>67</v>
      </c>
      <c r="C228" s="2" t="s">
        <v>9</v>
      </c>
      <c r="D228" s="2" t="s">
        <v>17</v>
      </c>
      <c r="E228" s="2" t="s">
        <v>21</v>
      </c>
      <c r="F228" s="2" t="s">
        <v>27</v>
      </c>
      <c r="G228">
        <v>1</v>
      </c>
      <c r="H228" s="2" t="s">
        <v>24</v>
      </c>
      <c r="I228" s="2" t="s">
        <v>85</v>
      </c>
      <c r="L228" s="2">
        <f>N(correct_ratio_df__2[[#This Row],[correct_ratio]]&gt;0)</f>
        <v>1</v>
      </c>
      <c r="M228" s="2">
        <f>N(correct_ratio_df__2[[#This Row],[correct_ratio]]=1)</f>
        <v>1</v>
      </c>
      <c r="N228" s="2">
        <f>correct_ratio_df__2[[#This Row],[calc available]]-correct_ratio_df__2[[#This Row],[clac stable]]</f>
        <v>0</v>
      </c>
    </row>
    <row r="229" spans="1:14" x14ac:dyDescent="0.2">
      <c r="A229">
        <v>227</v>
      </c>
      <c r="B229" s="2" t="s">
        <v>68</v>
      </c>
      <c r="C229" s="2" t="s">
        <v>14</v>
      </c>
      <c r="D229" s="2" t="s">
        <v>17</v>
      </c>
      <c r="E229" s="2" t="s">
        <v>15</v>
      </c>
      <c r="F229" s="2" t="s">
        <v>27</v>
      </c>
      <c r="G229">
        <v>0.66666666666666663</v>
      </c>
      <c r="H229" s="2" t="s">
        <v>24</v>
      </c>
      <c r="I229" s="2" t="s">
        <v>85</v>
      </c>
      <c r="L229" s="2">
        <f>N(correct_ratio_df__2[[#This Row],[correct_ratio]]&gt;0)</f>
        <v>1</v>
      </c>
      <c r="M229" s="2">
        <f>N(correct_ratio_df__2[[#This Row],[correct_ratio]]=1)</f>
        <v>0</v>
      </c>
      <c r="N229" s="2">
        <f>correct_ratio_df__2[[#This Row],[calc available]]-correct_ratio_df__2[[#This Row],[clac stable]]</f>
        <v>1</v>
      </c>
    </row>
    <row r="230" spans="1:14" x14ac:dyDescent="0.2">
      <c r="A230">
        <v>228</v>
      </c>
      <c r="B230" s="2" t="s">
        <v>69</v>
      </c>
      <c r="C230" s="2" t="s">
        <v>22</v>
      </c>
      <c r="D230" s="2" t="s">
        <v>17</v>
      </c>
      <c r="E230" s="2" t="s">
        <v>11</v>
      </c>
      <c r="F230" s="2" t="s">
        <v>27</v>
      </c>
      <c r="G230">
        <v>1</v>
      </c>
      <c r="H230" s="2" t="s">
        <v>24</v>
      </c>
      <c r="I230" s="2" t="s">
        <v>85</v>
      </c>
      <c r="L230" s="2">
        <f>N(correct_ratio_df__2[[#This Row],[correct_ratio]]&gt;0)</f>
        <v>1</v>
      </c>
      <c r="M230" s="2">
        <f>N(correct_ratio_df__2[[#This Row],[correct_ratio]]=1)</f>
        <v>1</v>
      </c>
      <c r="N230" s="2">
        <f>correct_ratio_df__2[[#This Row],[calc available]]-correct_ratio_df__2[[#This Row],[clac stable]]</f>
        <v>0</v>
      </c>
    </row>
    <row r="231" spans="1:14" x14ac:dyDescent="0.2">
      <c r="A231">
        <v>229</v>
      </c>
      <c r="B231" s="2" t="s">
        <v>70</v>
      </c>
      <c r="C231" s="2" t="s">
        <v>9</v>
      </c>
      <c r="D231" s="2" t="s">
        <v>17</v>
      </c>
      <c r="E231" s="2" t="s">
        <v>15</v>
      </c>
      <c r="F231" s="2" t="s">
        <v>27</v>
      </c>
      <c r="G231">
        <v>0</v>
      </c>
      <c r="H231" s="2" t="s">
        <v>24</v>
      </c>
      <c r="I231" s="2" t="s">
        <v>85</v>
      </c>
      <c r="L231" s="2">
        <f>N(correct_ratio_df__2[[#This Row],[correct_ratio]]&gt;0)</f>
        <v>0</v>
      </c>
      <c r="M231" s="2">
        <f>N(correct_ratio_df__2[[#This Row],[correct_ratio]]=1)</f>
        <v>0</v>
      </c>
      <c r="N231" s="2">
        <f>correct_ratio_df__2[[#This Row],[calc available]]-correct_ratio_df__2[[#This Row],[clac stable]]</f>
        <v>0</v>
      </c>
    </row>
    <row r="232" spans="1:14" x14ac:dyDescent="0.2">
      <c r="A232">
        <v>230</v>
      </c>
      <c r="B232" s="2" t="s">
        <v>71</v>
      </c>
      <c r="C232" s="2" t="s">
        <v>9</v>
      </c>
      <c r="D232" s="2" t="s">
        <v>17</v>
      </c>
      <c r="E232" s="2" t="s">
        <v>21</v>
      </c>
      <c r="F232" s="2" t="s">
        <v>27</v>
      </c>
      <c r="G232">
        <v>0.66666666666666663</v>
      </c>
      <c r="H232" s="2" t="s">
        <v>24</v>
      </c>
      <c r="I232" s="2" t="s">
        <v>85</v>
      </c>
      <c r="L232" s="2">
        <f>N(correct_ratio_df__2[[#This Row],[correct_ratio]]&gt;0)</f>
        <v>1</v>
      </c>
      <c r="M232" s="2">
        <f>N(correct_ratio_df__2[[#This Row],[correct_ratio]]=1)</f>
        <v>0</v>
      </c>
      <c r="N232" s="2">
        <f>correct_ratio_df__2[[#This Row],[calc available]]-correct_ratio_df__2[[#This Row],[clac stable]]</f>
        <v>1</v>
      </c>
    </row>
    <row r="233" spans="1:14" x14ac:dyDescent="0.2">
      <c r="A233">
        <v>231</v>
      </c>
      <c r="B233" s="2" t="s">
        <v>72</v>
      </c>
      <c r="C233" s="2" t="s">
        <v>19</v>
      </c>
      <c r="D233" s="2" t="s">
        <v>17</v>
      </c>
      <c r="E233" s="2" t="s">
        <v>11</v>
      </c>
      <c r="F233" s="2" t="s">
        <v>27</v>
      </c>
      <c r="G233">
        <v>0.33333333333333331</v>
      </c>
      <c r="H233" s="2" t="s">
        <v>24</v>
      </c>
      <c r="I233" s="2" t="s">
        <v>85</v>
      </c>
      <c r="L233" s="2">
        <f>N(correct_ratio_df__2[[#This Row],[correct_ratio]]&gt;0)</f>
        <v>1</v>
      </c>
      <c r="M233" s="2">
        <f>N(correct_ratio_df__2[[#This Row],[correct_ratio]]=1)</f>
        <v>0</v>
      </c>
      <c r="N233" s="2">
        <f>correct_ratio_df__2[[#This Row],[calc available]]-correct_ratio_df__2[[#This Row],[clac stable]]</f>
        <v>1</v>
      </c>
    </row>
    <row r="234" spans="1:14" x14ac:dyDescent="0.2">
      <c r="A234">
        <v>232</v>
      </c>
      <c r="B234" s="2" t="s">
        <v>73</v>
      </c>
      <c r="C234" s="2" t="s">
        <v>16</v>
      </c>
      <c r="D234" s="2" t="s">
        <v>17</v>
      </c>
      <c r="E234" s="2" t="s">
        <v>11</v>
      </c>
      <c r="F234" s="2" t="s">
        <v>27</v>
      </c>
      <c r="G234">
        <v>0.66666666666666663</v>
      </c>
      <c r="H234" s="2" t="s">
        <v>24</v>
      </c>
      <c r="I234" s="2" t="s">
        <v>85</v>
      </c>
      <c r="L234" s="2">
        <f>N(correct_ratio_df__2[[#This Row],[correct_ratio]]&gt;0)</f>
        <v>1</v>
      </c>
      <c r="M234" s="2">
        <f>N(correct_ratio_df__2[[#This Row],[correct_ratio]]=1)</f>
        <v>0</v>
      </c>
      <c r="N234" s="2">
        <f>correct_ratio_df__2[[#This Row],[calc available]]-correct_ratio_df__2[[#This Row],[clac stable]]</f>
        <v>1</v>
      </c>
    </row>
    <row r="235" spans="1:14" x14ac:dyDescent="0.2">
      <c r="A235">
        <v>233</v>
      </c>
      <c r="B235" s="2" t="s">
        <v>74</v>
      </c>
      <c r="C235" s="2" t="s">
        <v>22</v>
      </c>
      <c r="D235" s="2" t="s">
        <v>17</v>
      </c>
      <c r="E235" s="2" t="s">
        <v>21</v>
      </c>
      <c r="F235" s="2" t="s">
        <v>27</v>
      </c>
      <c r="G235">
        <v>1</v>
      </c>
      <c r="H235" s="2" t="s">
        <v>24</v>
      </c>
      <c r="I235" s="2" t="s">
        <v>85</v>
      </c>
      <c r="L235" s="2">
        <f>N(correct_ratio_df__2[[#This Row],[correct_ratio]]&gt;0)</f>
        <v>1</v>
      </c>
      <c r="M235" s="2">
        <f>N(correct_ratio_df__2[[#This Row],[correct_ratio]]=1)</f>
        <v>1</v>
      </c>
      <c r="N235" s="2">
        <f>correct_ratio_df__2[[#This Row],[calc available]]-correct_ratio_df__2[[#This Row],[clac stable]]</f>
        <v>0</v>
      </c>
    </row>
    <row r="236" spans="1:14" x14ac:dyDescent="0.2">
      <c r="A236">
        <v>234</v>
      </c>
      <c r="B236" s="2" t="s">
        <v>75</v>
      </c>
      <c r="C236" s="2" t="s">
        <v>14</v>
      </c>
      <c r="D236" s="2" t="s">
        <v>17</v>
      </c>
      <c r="E236" s="2" t="s">
        <v>21</v>
      </c>
      <c r="F236" s="2" t="s">
        <v>27</v>
      </c>
      <c r="G236">
        <v>1</v>
      </c>
      <c r="H236" s="2" t="s">
        <v>24</v>
      </c>
      <c r="I236" s="2" t="s">
        <v>85</v>
      </c>
      <c r="L236" s="2">
        <f>N(correct_ratio_df__2[[#This Row],[correct_ratio]]&gt;0)</f>
        <v>1</v>
      </c>
      <c r="M236" s="2">
        <f>N(correct_ratio_df__2[[#This Row],[correct_ratio]]=1)</f>
        <v>1</v>
      </c>
      <c r="N236" s="2">
        <f>correct_ratio_df__2[[#This Row],[calc available]]-correct_ratio_df__2[[#This Row],[clac stable]]</f>
        <v>0</v>
      </c>
    </row>
    <row r="237" spans="1:14" x14ac:dyDescent="0.2">
      <c r="A237">
        <v>235</v>
      </c>
      <c r="B237" s="2" t="s">
        <v>76</v>
      </c>
      <c r="C237" s="2" t="s">
        <v>14</v>
      </c>
      <c r="D237" s="2" t="s">
        <v>10</v>
      </c>
      <c r="E237" s="2" t="s">
        <v>21</v>
      </c>
      <c r="F237" s="2" t="s">
        <v>27</v>
      </c>
      <c r="G237">
        <v>1</v>
      </c>
      <c r="H237" s="2" t="s">
        <v>24</v>
      </c>
      <c r="I237" s="2" t="s">
        <v>85</v>
      </c>
      <c r="L237" s="2">
        <f>N(correct_ratio_df__2[[#This Row],[correct_ratio]]&gt;0)</f>
        <v>1</v>
      </c>
      <c r="M237" s="2">
        <f>N(correct_ratio_df__2[[#This Row],[correct_ratio]]=1)</f>
        <v>1</v>
      </c>
      <c r="N237" s="2">
        <f>correct_ratio_df__2[[#This Row],[calc available]]-correct_ratio_df__2[[#This Row],[clac stable]]</f>
        <v>0</v>
      </c>
    </row>
    <row r="238" spans="1:14" x14ac:dyDescent="0.2">
      <c r="A238">
        <v>236</v>
      </c>
      <c r="B238" s="2" t="s">
        <v>77</v>
      </c>
      <c r="C238" s="2" t="s">
        <v>9</v>
      </c>
      <c r="D238" s="2" t="s">
        <v>17</v>
      </c>
      <c r="E238" s="2" t="s">
        <v>15</v>
      </c>
      <c r="F238" s="2" t="s">
        <v>27</v>
      </c>
      <c r="G238">
        <v>1</v>
      </c>
      <c r="H238" s="2" t="s">
        <v>24</v>
      </c>
      <c r="I238" s="2" t="s">
        <v>85</v>
      </c>
      <c r="L238" s="2">
        <f>N(correct_ratio_df__2[[#This Row],[correct_ratio]]&gt;0)</f>
        <v>1</v>
      </c>
      <c r="M238" s="2">
        <f>N(correct_ratio_df__2[[#This Row],[correct_ratio]]=1)</f>
        <v>1</v>
      </c>
      <c r="N238" s="2">
        <f>correct_ratio_df__2[[#This Row],[calc available]]-correct_ratio_df__2[[#This Row],[clac stable]]</f>
        <v>0</v>
      </c>
    </row>
    <row r="239" spans="1:14" x14ac:dyDescent="0.2">
      <c r="A239">
        <v>237</v>
      </c>
      <c r="B239" s="2" t="s">
        <v>78</v>
      </c>
      <c r="C239" s="2" t="s">
        <v>9</v>
      </c>
      <c r="D239" s="2" t="s">
        <v>17</v>
      </c>
      <c r="E239" s="2" t="s">
        <v>21</v>
      </c>
      <c r="F239" s="2" t="s">
        <v>27</v>
      </c>
      <c r="G239">
        <v>1</v>
      </c>
      <c r="H239" s="2" t="s">
        <v>24</v>
      </c>
      <c r="I239" s="2" t="s">
        <v>85</v>
      </c>
      <c r="L239" s="2">
        <f>N(correct_ratio_df__2[[#This Row],[correct_ratio]]&gt;0)</f>
        <v>1</v>
      </c>
      <c r="M239" s="2">
        <f>N(correct_ratio_df__2[[#This Row],[correct_ratio]]=1)</f>
        <v>1</v>
      </c>
      <c r="N239" s="2">
        <f>correct_ratio_df__2[[#This Row],[calc available]]-correct_ratio_df__2[[#This Row],[clac stable]]</f>
        <v>0</v>
      </c>
    </row>
    <row r="240" spans="1:14" x14ac:dyDescent="0.2">
      <c r="A240">
        <v>238</v>
      </c>
      <c r="B240" s="2" t="s">
        <v>79</v>
      </c>
      <c r="C240" s="2" t="s">
        <v>14</v>
      </c>
      <c r="D240" s="2" t="s">
        <v>17</v>
      </c>
      <c r="E240" s="2" t="s">
        <v>11</v>
      </c>
      <c r="F240" s="2" t="s">
        <v>27</v>
      </c>
      <c r="G240">
        <v>0</v>
      </c>
      <c r="H240" s="2" t="s">
        <v>24</v>
      </c>
      <c r="I240" s="2" t="s">
        <v>85</v>
      </c>
      <c r="L240" s="2">
        <f>N(correct_ratio_df__2[[#This Row],[correct_ratio]]&gt;0)</f>
        <v>0</v>
      </c>
      <c r="M240" s="2">
        <f>N(correct_ratio_df__2[[#This Row],[correct_ratio]]=1)</f>
        <v>0</v>
      </c>
      <c r="N240" s="2">
        <f>correct_ratio_df__2[[#This Row],[calc available]]-correct_ratio_df__2[[#This Row],[clac stable]]</f>
        <v>0</v>
      </c>
    </row>
    <row r="241" spans="1:14" x14ac:dyDescent="0.2">
      <c r="A241">
        <v>239</v>
      </c>
      <c r="B241" s="2" t="s">
        <v>80</v>
      </c>
      <c r="C241" s="2" t="s">
        <v>22</v>
      </c>
      <c r="D241" s="2" t="s">
        <v>20</v>
      </c>
      <c r="E241" s="2" t="s">
        <v>11</v>
      </c>
      <c r="F241" s="2" t="s">
        <v>27</v>
      </c>
      <c r="G241">
        <v>0.33333333333333331</v>
      </c>
      <c r="H241" s="2" t="s">
        <v>24</v>
      </c>
      <c r="I241" s="2" t="s">
        <v>85</v>
      </c>
      <c r="L241" s="2">
        <f>N(correct_ratio_df__2[[#This Row],[correct_ratio]]&gt;0)</f>
        <v>1</v>
      </c>
      <c r="M241" s="2">
        <f>N(correct_ratio_df__2[[#This Row],[correct_ratio]]=1)</f>
        <v>0</v>
      </c>
      <c r="N241" s="2">
        <f>correct_ratio_df__2[[#This Row],[calc available]]-correct_ratio_df__2[[#This Row],[clac stable]]</f>
        <v>1</v>
      </c>
    </row>
    <row r="242" spans="1:14" x14ac:dyDescent="0.2">
      <c r="A242">
        <v>240</v>
      </c>
      <c r="B242" s="2" t="s">
        <v>41</v>
      </c>
      <c r="C242" s="2" t="s">
        <v>9</v>
      </c>
      <c r="D242" s="2" t="s">
        <v>10</v>
      </c>
      <c r="E242" s="2" t="s">
        <v>11</v>
      </c>
      <c r="F242" s="2" t="s">
        <v>82</v>
      </c>
      <c r="G242">
        <v>1</v>
      </c>
      <c r="H242" s="2" t="s">
        <v>13</v>
      </c>
      <c r="I242" s="2" t="s">
        <v>90</v>
      </c>
      <c r="L242" s="2">
        <f>N(correct_ratio_df__2[[#This Row],[correct_ratio]]&gt;0)</f>
        <v>1</v>
      </c>
      <c r="M242" s="2">
        <f>N(correct_ratio_df__2[[#This Row],[correct_ratio]]=1)</f>
        <v>1</v>
      </c>
      <c r="N242" s="2">
        <f>correct_ratio_df__2[[#This Row],[calc available]]-correct_ratio_df__2[[#This Row],[clac stable]]</f>
        <v>0</v>
      </c>
    </row>
    <row r="243" spans="1:14" x14ac:dyDescent="0.2">
      <c r="A243">
        <v>241</v>
      </c>
      <c r="B243" s="2" t="s">
        <v>42</v>
      </c>
      <c r="C243" s="2" t="s">
        <v>14</v>
      </c>
      <c r="D243" s="2" t="s">
        <v>10</v>
      </c>
      <c r="E243" s="2" t="s">
        <v>15</v>
      </c>
      <c r="F243" s="2" t="s">
        <v>82</v>
      </c>
      <c r="G243">
        <v>1</v>
      </c>
      <c r="H243" s="2" t="s">
        <v>13</v>
      </c>
      <c r="I243" s="2" t="s">
        <v>90</v>
      </c>
      <c r="L243" s="2">
        <f>N(correct_ratio_df__2[[#This Row],[correct_ratio]]&gt;0)</f>
        <v>1</v>
      </c>
      <c r="M243" s="2">
        <f>N(correct_ratio_df__2[[#This Row],[correct_ratio]]=1)</f>
        <v>1</v>
      </c>
      <c r="N243" s="2">
        <f>correct_ratio_df__2[[#This Row],[calc available]]-correct_ratio_df__2[[#This Row],[clac stable]]</f>
        <v>0</v>
      </c>
    </row>
    <row r="244" spans="1:14" x14ac:dyDescent="0.2">
      <c r="A244">
        <v>242</v>
      </c>
      <c r="B244" s="2" t="s">
        <v>43</v>
      </c>
      <c r="C244" s="2" t="s">
        <v>16</v>
      </c>
      <c r="D244" s="2" t="s">
        <v>17</v>
      </c>
      <c r="E244" s="2" t="s">
        <v>11</v>
      </c>
      <c r="F244" s="2" t="s">
        <v>82</v>
      </c>
      <c r="G244">
        <v>1</v>
      </c>
      <c r="H244" s="2" t="s">
        <v>13</v>
      </c>
      <c r="I244" s="2" t="s">
        <v>90</v>
      </c>
      <c r="L244" s="2">
        <f>N(correct_ratio_df__2[[#This Row],[correct_ratio]]&gt;0)</f>
        <v>1</v>
      </c>
      <c r="M244" s="2">
        <f>N(correct_ratio_df__2[[#This Row],[correct_ratio]]=1)</f>
        <v>1</v>
      </c>
      <c r="N244" s="2">
        <f>correct_ratio_df__2[[#This Row],[calc available]]-correct_ratio_df__2[[#This Row],[clac stable]]</f>
        <v>0</v>
      </c>
    </row>
    <row r="245" spans="1:14" x14ac:dyDescent="0.2">
      <c r="A245">
        <v>243</v>
      </c>
      <c r="B245" s="2" t="s">
        <v>44</v>
      </c>
      <c r="C245" s="2" t="s">
        <v>16</v>
      </c>
      <c r="D245" s="2" t="s">
        <v>10</v>
      </c>
      <c r="E245" s="2" t="s">
        <v>15</v>
      </c>
      <c r="F245" s="2" t="s">
        <v>82</v>
      </c>
      <c r="G245">
        <v>1</v>
      </c>
      <c r="H245" s="2" t="s">
        <v>13</v>
      </c>
      <c r="I245" s="2" t="s">
        <v>90</v>
      </c>
      <c r="L245" s="2">
        <f>N(correct_ratio_df__2[[#This Row],[correct_ratio]]&gt;0)</f>
        <v>1</v>
      </c>
      <c r="M245" s="2">
        <f>N(correct_ratio_df__2[[#This Row],[correct_ratio]]=1)</f>
        <v>1</v>
      </c>
      <c r="N245" s="2">
        <f>correct_ratio_df__2[[#This Row],[calc available]]-correct_ratio_df__2[[#This Row],[clac stable]]</f>
        <v>0</v>
      </c>
    </row>
    <row r="246" spans="1:14" x14ac:dyDescent="0.2">
      <c r="A246">
        <v>244</v>
      </c>
      <c r="B246" s="2" t="s">
        <v>45</v>
      </c>
      <c r="C246" s="2" t="s">
        <v>14</v>
      </c>
      <c r="D246" s="2" t="s">
        <v>18</v>
      </c>
      <c r="E246" s="2" t="s">
        <v>15</v>
      </c>
      <c r="F246" s="2" t="s">
        <v>82</v>
      </c>
      <c r="G246">
        <v>1</v>
      </c>
      <c r="H246" s="2" t="s">
        <v>13</v>
      </c>
      <c r="I246" s="2" t="s">
        <v>90</v>
      </c>
      <c r="L246" s="2">
        <f>N(correct_ratio_df__2[[#This Row],[correct_ratio]]&gt;0)</f>
        <v>1</v>
      </c>
      <c r="M246" s="2">
        <f>N(correct_ratio_df__2[[#This Row],[correct_ratio]]=1)</f>
        <v>1</v>
      </c>
      <c r="N246" s="2">
        <f>correct_ratio_df__2[[#This Row],[calc available]]-correct_ratio_df__2[[#This Row],[clac stable]]</f>
        <v>0</v>
      </c>
    </row>
    <row r="247" spans="1:14" x14ac:dyDescent="0.2">
      <c r="A247">
        <v>245</v>
      </c>
      <c r="B247" s="2" t="s">
        <v>46</v>
      </c>
      <c r="C247" s="2" t="s">
        <v>14</v>
      </c>
      <c r="D247" s="2" t="s">
        <v>10</v>
      </c>
      <c r="E247" s="2" t="s">
        <v>15</v>
      </c>
      <c r="F247" s="2" t="s">
        <v>82</v>
      </c>
      <c r="G247">
        <v>1</v>
      </c>
      <c r="H247" s="2" t="s">
        <v>13</v>
      </c>
      <c r="I247" s="2" t="s">
        <v>90</v>
      </c>
      <c r="L247" s="2">
        <f>N(correct_ratio_df__2[[#This Row],[correct_ratio]]&gt;0)</f>
        <v>1</v>
      </c>
      <c r="M247" s="2">
        <f>N(correct_ratio_df__2[[#This Row],[correct_ratio]]=1)</f>
        <v>1</v>
      </c>
      <c r="N247" s="2">
        <f>correct_ratio_df__2[[#This Row],[calc available]]-correct_ratio_df__2[[#This Row],[clac stable]]</f>
        <v>0</v>
      </c>
    </row>
    <row r="248" spans="1:14" x14ac:dyDescent="0.2">
      <c r="A248">
        <v>246</v>
      </c>
      <c r="B248" s="2" t="s">
        <v>47</v>
      </c>
      <c r="C248" s="2" t="s">
        <v>19</v>
      </c>
      <c r="D248" s="2" t="s">
        <v>10</v>
      </c>
      <c r="E248" s="2" t="s">
        <v>15</v>
      </c>
      <c r="F248" s="2" t="s">
        <v>82</v>
      </c>
      <c r="G248">
        <v>1</v>
      </c>
      <c r="H248" s="2" t="s">
        <v>13</v>
      </c>
      <c r="I248" s="2" t="s">
        <v>90</v>
      </c>
      <c r="L248" s="2">
        <f>N(correct_ratio_df__2[[#This Row],[correct_ratio]]&gt;0)</f>
        <v>1</v>
      </c>
      <c r="M248" s="2">
        <f>N(correct_ratio_df__2[[#This Row],[correct_ratio]]=1)</f>
        <v>1</v>
      </c>
      <c r="N248" s="2">
        <f>correct_ratio_df__2[[#This Row],[calc available]]-correct_ratio_df__2[[#This Row],[clac stable]]</f>
        <v>0</v>
      </c>
    </row>
    <row r="249" spans="1:14" x14ac:dyDescent="0.2">
      <c r="A249">
        <v>247</v>
      </c>
      <c r="B249" s="2" t="s">
        <v>48</v>
      </c>
      <c r="C249" s="2" t="s">
        <v>16</v>
      </c>
      <c r="D249" s="2" t="s">
        <v>20</v>
      </c>
      <c r="E249" s="2" t="s">
        <v>21</v>
      </c>
      <c r="F249" s="2" t="s">
        <v>82</v>
      </c>
      <c r="G249">
        <v>1</v>
      </c>
      <c r="H249" s="2" t="s">
        <v>13</v>
      </c>
      <c r="I249" s="2" t="s">
        <v>90</v>
      </c>
      <c r="L249" s="2">
        <f>N(correct_ratio_df__2[[#This Row],[correct_ratio]]&gt;0)</f>
        <v>1</v>
      </c>
      <c r="M249" s="2">
        <f>N(correct_ratio_df__2[[#This Row],[correct_ratio]]=1)</f>
        <v>1</v>
      </c>
      <c r="N249" s="2">
        <f>correct_ratio_df__2[[#This Row],[calc available]]-correct_ratio_df__2[[#This Row],[clac stable]]</f>
        <v>0</v>
      </c>
    </row>
    <row r="250" spans="1:14" x14ac:dyDescent="0.2">
      <c r="A250">
        <v>248</v>
      </c>
      <c r="B250" s="2" t="s">
        <v>49</v>
      </c>
      <c r="C250" s="2" t="s">
        <v>16</v>
      </c>
      <c r="D250" s="2" t="s">
        <v>10</v>
      </c>
      <c r="E250" s="2" t="s">
        <v>21</v>
      </c>
      <c r="F250" s="2" t="s">
        <v>82</v>
      </c>
      <c r="G250">
        <v>1</v>
      </c>
      <c r="H250" s="2" t="s">
        <v>13</v>
      </c>
      <c r="I250" s="2" t="s">
        <v>90</v>
      </c>
      <c r="L250" s="2">
        <f>N(correct_ratio_df__2[[#This Row],[correct_ratio]]&gt;0)</f>
        <v>1</v>
      </c>
      <c r="M250" s="2">
        <f>N(correct_ratio_df__2[[#This Row],[correct_ratio]]=1)</f>
        <v>1</v>
      </c>
      <c r="N250" s="2">
        <f>correct_ratio_df__2[[#This Row],[calc available]]-correct_ratio_df__2[[#This Row],[clac stable]]</f>
        <v>0</v>
      </c>
    </row>
    <row r="251" spans="1:14" x14ac:dyDescent="0.2">
      <c r="A251">
        <v>249</v>
      </c>
      <c r="B251" s="2" t="s">
        <v>50</v>
      </c>
      <c r="C251" s="2" t="s">
        <v>9</v>
      </c>
      <c r="D251" s="2" t="s">
        <v>17</v>
      </c>
      <c r="E251" s="2" t="s">
        <v>21</v>
      </c>
      <c r="F251" s="2" t="s">
        <v>82</v>
      </c>
      <c r="G251">
        <v>1</v>
      </c>
      <c r="H251" s="2" t="s">
        <v>13</v>
      </c>
      <c r="I251" s="2" t="s">
        <v>90</v>
      </c>
      <c r="L251" s="2">
        <f>N(correct_ratio_df__2[[#This Row],[correct_ratio]]&gt;0)</f>
        <v>1</v>
      </c>
      <c r="M251" s="2">
        <f>N(correct_ratio_df__2[[#This Row],[correct_ratio]]=1)</f>
        <v>1</v>
      </c>
      <c r="N251" s="2">
        <f>correct_ratio_df__2[[#This Row],[calc available]]-correct_ratio_df__2[[#This Row],[clac stable]]</f>
        <v>0</v>
      </c>
    </row>
    <row r="252" spans="1:14" x14ac:dyDescent="0.2">
      <c r="A252">
        <v>250</v>
      </c>
      <c r="B252" s="2" t="s">
        <v>51</v>
      </c>
      <c r="C252" s="2" t="s">
        <v>16</v>
      </c>
      <c r="D252" s="2" t="s">
        <v>17</v>
      </c>
      <c r="E252" s="2" t="s">
        <v>11</v>
      </c>
      <c r="F252" s="2" t="s">
        <v>82</v>
      </c>
      <c r="G252">
        <v>1</v>
      </c>
      <c r="H252" s="2" t="s">
        <v>13</v>
      </c>
      <c r="I252" s="2" t="s">
        <v>90</v>
      </c>
      <c r="L252" s="2">
        <f>N(correct_ratio_df__2[[#This Row],[correct_ratio]]&gt;0)</f>
        <v>1</v>
      </c>
      <c r="M252" s="2">
        <f>N(correct_ratio_df__2[[#This Row],[correct_ratio]]=1)</f>
        <v>1</v>
      </c>
      <c r="N252" s="2">
        <f>correct_ratio_df__2[[#This Row],[calc available]]-correct_ratio_df__2[[#This Row],[clac stable]]</f>
        <v>0</v>
      </c>
    </row>
    <row r="253" spans="1:14" x14ac:dyDescent="0.2">
      <c r="A253">
        <v>251</v>
      </c>
      <c r="B253" s="2" t="s">
        <v>52</v>
      </c>
      <c r="C253" s="2" t="s">
        <v>9</v>
      </c>
      <c r="D253" s="2" t="s">
        <v>17</v>
      </c>
      <c r="E253" s="2" t="s">
        <v>15</v>
      </c>
      <c r="F253" s="2" t="s">
        <v>82</v>
      </c>
      <c r="G253">
        <v>1</v>
      </c>
      <c r="H253" s="2" t="s">
        <v>13</v>
      </c>
      <c r="I253" s="2" t="s">
        <v>90</v>
      </c>
      <c r="L253" s="2">
        <f>N(correct_ratio_df__2[[#This Row],[correct_ratio]]&gt;0)</f>
        <v>1</v>
      </c>
      <c r="M253" s="2">
        <f>N(correct_ratio_df__2[[#This Row],[correct_ratio]]=1)</f>
        <v>1</v>
      </c>
      <c r="N253" s="2">
        <f>correct_ratio_df__2[[#This Row],[calc available]]-correct_ratio_df__2[[#This Row],[clac stable]]</f>
        <v>0</v>
      </c>
    </row>
    <row r="254" spans="1:14" x14ac:dyDescent="0.2">
      <c r="A254">
        <v>252</v>
      </c>
      <c r="B254" s="2" t="s">
        <v>53</v>
      </c>
      <c r="C254" s="2" t="s">
        <v>19</v>
      </c>
      <c r="D254" s="2" t="s">
        <v>17</v>
      </c>
      <c r="E254" s="2" t="s">
        <v>21</v>
      </c>
      <c r="F254" s="2" t="s">
        <v>82</v>
      </c>
      <c r="G254">
        <v>1</v>
      </c>
      <c r="H254" s="2" t="s">
        <v>13</v>
      </c>
      <c r="I254" s="2" t="s">
        <v>90</v>
      </c>
      <c r="L254" s="2">
        <f>N(correct_ratio_df__2[[#This Row],[correct_ratio]]&gt;0)</f>
        <v>1</v>
      </c>
      <c r="M254" s="2">
        <f>N(correct_ratio_df__2[[#This Row],[correct_ratio]]=1)</f>
        <v>1</v>
      </c>
      <c r="N254" s="2">
        <f>correct_ratio_df__2[[#This Row],[calc available]]-correct_ratio_df__2[[#This Row],[clac stable]]</f>
        <v>0</v>
      </c>
    </row>
    <row r="255" spans="1:14" x14ac:dyDescent="0.2">
      <c r="A255">
        <v>253</v>
      </c>
      <c r="B255" s="2" t="s">
        <v>54</v>
      </c>
      <c r="C255" s="2" t="s">
        <v>14</v>
      </c>
      <c r="D255" s="2" t="s">
        <v>17</v>
      </c>
      <c r="E255" s="2" t="s">
        <v>15</v>
      </c>
      <c r="F255" s="2" t="s">
        <v>82</v>
      </c>
      <c r="G255">
        <v>1</v>
      </c>
      <c r="H255" s="2" t="s">
        <v>13</v>
      </c>
      <c r="I255" s="2" t="s">
        <v>90</v>
      </c>
      <c r="L255" s="2">
        <f>N(correct_ratio_df__2[[#This Row],[correct_ratio]]&gt;0)</f>
        <v>1</v>
      </c>
      <c r="M255" s="2">
        <f>N(correct_ratio_df__2[[#This Row],[correct_ratio]]=1)</f>
        <v>1</v>
      </c>
      <c r="N255" s="2">
        <f>correct_ratio_df__2[[#This Row],[calc available]]-correct_ratio_df__2[[#This Row],[clac stable]]</f>
        <v>0</v>
      </c>
    </row>
    <row r="256" spans="1:14" x14ac:dyDescent="0.2">
      <c r="A256">
        <v>254</v>
      </c>
      <c r="B256" s="2" t="s">
        <v>55</v>
      </c>
      <c r="C256" s="2" t="s">
        <v>9</v>
      </c>
      <c r="D256" s="2" t="s">
        <v>18</v>
      </c>
      <c r="E256" s="2" t="s">
        <v>21</v>
      </c>
      <c r="F256" s="2" t="s">
        <v>82</v>
      </c>
      <c r="G256">
        <v>1</v>
      </c>
      <c r="H256" s="2" t="s">
        <v>13</v>
      </c>
      <c r="I256" s="2" t="s">
        <v>90</v>
      </c>
      <c r="L256" s="2">
        <f>N(correct_ratio_df__2[[#This Row],[correct_ratio]]&gt;0)</f>
        <v>1</v>
      </c>
      <c r="M256" s="2">
        <f>N(correct_ratio_df__2[[#This Row],[correct_ratio]]=1)</f>
        <v>1</v>
      </c>
      <c r="N256" s="2">
        <f>correct_ratio_df__2[[#This Row],[calc available]]-correct_ratio_df__2[[#This Row],[clac stable]]</f>
        <v>0</v>
      </c>
    </row>
    <row r="257" spans="1:14" x14ac:dyDescent="0.2">
      <c r="A257">
        <v>255</v>
      </c>
      <c r="B257" s="2" t="s">
        <v>56</v>
      </c>
      <c r="C257" s="2" t="s">
        <v>19</v>
      </c>
      <c r="D257" s="2" t="s">
        <v>17</v>
      </c>
      <c r="E257" s="2" t="s">
        <v>21</v>
      </c>
      <c r="F257" s="2" t="s">
        <v>82</v>
      </c>
      <c r="G257">
        <v>1</v>
      </c>
      <c r="H257" s="2" t="s">
        <v>13</v>
      </c>
      <c r="I257" s="2" t="s">
        <v>90</v>
      </c>
      <c r="L257" s="2">
        <f>N(correct_ratio_df__2[[#This Row],[correct_ratio]]&gt;0)</f>
        <v>1</v>
      </c>
      <c r="M257" s="2">
        <f>N(correct_ratio_df__2[[#This Row],[correct_ratio]]=1)</f>
        <v>1</v>
      </c>
      <c r="N257" s="2">
        <f>correct_ratio_df__2[[#This Row],[calc available]]-correct_ratio_df__2[[#This Row],[clac stable]]</f>
        <v>0</v>
      </c>
    </row>
    <row r="258" spans="1:14" x14ac:dyDescent="0.2">
      <c r="A258">
        <v>256</v>
      </c>
      <c r="B258" s="2" t="s">
        <v>57</v>
      </c>
      <c r="C258" s="2" t="s">
        <v>9</v>
      </c>
      <c r="D258" s="2" t="s">
        <v>17</v>
      </c>
      <c r="E258" s="2" t="s">
        <v>21</v>
      </c>
      <c r="F258" s="2" t="s">
        <v>82</v>
      </c>
      <c r="G258">
        <v>1</v>
      </c>
      <c r="H258" s="2" t="s">
        <v>13</v>
      </c>
      <c r="I258" s="2" t="s">
        <v>90</v>
      </c>
      <c r="L258" s="2">
        <f>N(correct_ratio_df__2[[#This Row],[correct_ratio]]&gt;0)</f>
        <v>1</v>
      </c>
      <c r="M258" s="2">
        <f>N(correct_ratio_df__2[[#This Row],[correct_ratio]]=1)</f>
        <v>1</v>
      </c>
      <c r="N258" s="2">
        <f>correct_ratio_df__2[[#This Row],[calc available]]-correct_ratio_df__2[[#This Row],[clac stable]]</f>
        <v>0</v>
      </c>
    </row>
    <row r="259" spans="1:14" x14ac:dyDescent="0.2">
      <c r="A259">
        <v>257</v>
      </c>
      <c r="B259" s="2" t="s">
        <v>58</v>
      </c>
      <c r="C259" s="2" t="s">
        <v>9</v>
      </c>
      <c r="D259" s="2" t="s">
        <v>17</v>
      </c>
      <c r="E259" s="2" t="s">
        <v>21</v>
      </c>
      <c r="F259" s="2" t="s">
        <v>82</v>
      </c>
      <c r="G259">
        <v>1</v>
      </c>
      <c r="H259" s="2" t="s">
        <v>13</v>
      </c>
      <c r="I259" s="2" t="s">
        <v>90</v>
      </c>
      <c r="L259" s="2">
        <f>N(correct_ratio_df__2[[#This Row],[correct_ratio]]&gt;0)</f>
        <v>1</v>
      </c>
      <c r="M259" s="2">
        <f>N(correct_ratio_df__2[[#This Row],[correct_ratio]]=1)</f>
        <v>1</v>
      </c>
      <c r="N259" s="2">
        <f>correct_ratio_df__2[[#This Row],[calc available]]-correct_ratio_df__2[[#This Row],[clac stable]]</f>
        <v>0</v>
      </c>
    </row>
    <row r="260" spans="1:14" x14ac:dyDescent="0.2">
      <c r="A260">
        <v>258</v>
      </c>
      <c r="B260" s="2" t="s">
        <v>59</v>
      </c>
      <c r="C260" s="2" t="s">
        <v>19</v>
      </c>
      <c r="D260" s="2" t="s">
        <v>17</v>
      </c>
      <c r="E260" s="2" t="s">
        <v>15</v>
      </c>
      <c r="F260" s="2" t="s">
        <v>82</v>
      </c>
      <c r="G260">
        <v>1</v>
      </c>
      <c r="H260" s="2" t="s">
        <v>13</v>
      </c>
      <c r="I260" s="2" t="s">
        <v>90</v>
      </c>
      <c r="L260" s="2">
        <f>N(correct_ratio_df__2[[#This Row],[correct_ratio]]&gt;0)</f>
        <v>1</v>
      </c>
      <c r="M260" s="2">
        <f>N(correct_ratio_df__2[[#This Row],[correct_ratio]]=1)</f>
        <v>1</v>
      </c>
      <c r="N260" s="2">
        <f>correct_ratio_df__2[[#This Row],[calc available]]-correct_ratio_df__2[[#This Row],[clac stable]]</f>
        <v>0</v>
      </c>
    </row>
    <row r="261" spans="1:14" x14ac:dyDescent="0.2">
      <c r="A261">
        <v>259</v>
      </c>
      <c r="B261" s="2" t="s">
        <v>60</v>
      </c>
      <c r="C261" s="2" t="s">
        <v>9</v>
      </c>
      <c r="D261" s="2" t="s">
        <v>17</v>
      </c>
      <c r="E261" s="2" t="s">
        <v>21</v>
      </c>
      <c r="F261" s="2" t="s">
        <v>82</v>
      </c>
      <c r="G261">
        <v>1</v>
      </c>
      <c r="H261" s="2" t="s">
        <v>13</v>
      </c>
      <c r="I261" s="2" t="s">
        <v>90</v>
      </c>
      <c r="L261" s="2">
        <f>N(correct_ratio_df__2[[#This Row],[correct_ratio]]&gt;0)</f>
        <v>1</v>
      </c>
      <c r="M261" s="2">
        <f>N(correct_ratio_df__2[[#This Row],[correct_ratio]]=1)</f>
        <v>1</v>
      </c>
      <c r="N261" s="2">
        <f>correct_ratio_df__2[[#This Row],[calc available]]-correct_ratio_df__2[[#This Row],[clac stable]]</f>
        <v>0</v>
      </c>
    </row>
    <row r="262" spans="1:14" x14ac:dyDescent="0.2">
      <c r="A262">
        <v>260</v>
      </c>
      <c r="B262" s="2" t="s">
        <v>61</v>
      </c>
      <c r="C262" s="2" t="s">
        <v>14</v>
      </c>
      <c r="D262" s="2" t="s">
        <v>10</v>
      </c>
      <c r="E262" s="2" t="s">
        <v>11</v>
      </c>
      <c r="F262" s="2" t="s">
        <v>82</v>
      </c>
      <c r="G262">
        <v>1</v>
      </c>
      <c r="H262" s="2" t="s">
        <v>13</v>
      </c>
      <c r="I262" s="2" t="s">
        <v>90</v>
      </c>
      <c r="L262" s="2">
        <f>N(correct_ratio_df__2[[#This Row],[correct_ratio]]&gt;0)</f>
        <v>1</v>
      </c>
      <c r="M262" s="2">
        <f>N(correct_ratio_df__2[[#This Row],[correct_ratio]]=1)</f>
        <v>1</v>
      </c>
      <c r="N262" s="2">
        <f>correct_ratio_df__2[[#This Row],[calc available]]-correct_ratio_df__2[[#This Row],[clac stable]]</f>
        <v>0</v>
      </c>
    </row>
    <row r="263" spans="1:14" x14ac:dyDescent="0.2">
      <c r="A263">
        <v>261</v>
      </c>
      <c r="B263" s="2" t="s">
        <v>62</v>
      </c>
      <c r="C263" s="2" t="s">
        <v>16</v>
      </c>
      <c r="D263" s="2" t="s">
        <v>18</v>
      </c>
      <c r="E263" s="2" t="s">
        <v>11</v>
      </c>
      <c r="F263" s="2" t="s">
        <v>82</v>
      </c>
      <c r="G263">
        <v>1</v>
      </c>
      <c r="H263" s="2" t="s">
        <v>13</v>
      </c>
      <c r="I263" s="2" t="s">
        <v>90</v>
      </c>
      <c r="L263" s="2">
        <f>N(correct_ratio_df__2[[#This Row],[correct_ratio]]&gt;0)</f>
        <v>1</v>
      </c>
      <c r="M263" s="2">
        <f>N(correct_ratio_df__2[[#This Row],[correct_ratio]]=1)</f>
        <v>1</v>
      </c>
      <c r="N263" s="2">
        <f>correct_ratio_df__2[[#This Row],[calc available]]-correct_ratio_df__2[[#This Row],[clac stable]]</f>
        <v>0</v>
      </c>
    </row>
    <row r="264" spans="1:14" x14ac:dyDescent="0.2">
      <c r="A264">
        <v>262</v>
      </c>
      <c r="B264" s="2" t="s">
        <v>63</v>
      </c>
      <c r="C264" s="2" t="s">
        <v>9</v>
      </c>
      <c r="D264" s="2" t="s">
        <v>20</v>
      </c>
      <c r="E264" s="2" t="s">
        <v>15</v>
      </c>
      <c r="F264" s="2" t="s">
        <v>82</v>
      </c>
      <c r="G264">
        <v>0.66666666666666663</v>
      </c>
      <c r="H264" s="2" t="s">
        <v>13</v>
      </c>
      <c r="I264" s="2" t="s">
        <v>90</v>
      </c>
      <c r="L264" s="2">
        <f>N(correct_ratio_df__2[[#This Row],[correct_ratio]]&gt;0)</f>
        <v>1</v>
      </c>
      <c r="M264" s="2">
        <f>N(correct_ratio_df__2[[#This Row],[correct_ratio]]=1)</f>
        <v>0</v>
      </c>
      <c r="N264" s="2">
        <f>correct_ratio_df__2[[#This Row],[calc available]]-correct_ratio_df__2[[#This Row],[clac stable]]</f>
        <v>1</v>
      </c>
    </row>
    <row r="265" spans="1:14" x14ac:dyDescent="0.2">
      <c r="A265">
        <v>263</v>
      </c>
      <c r="B265" s="2" t="s">
        <v>64</v>
      </c>
      <c r="C265" s="2" t="s">
        <v>14</v>
      </c>
      <c r="D265" s="2" t="s">
        <v>17</v>
      </c>
      <c r="E265" s="2" t="s">
        <v>11</v>
      </c>
      <c r="F265" s="2" t="s">
        <v>82</v>
      </c>
      <c r="G265">
        <v>1</v>
      </c>
      <c r="H265" s="2" t="s">
        <v>13</v>
      </c>
      <c r="I265" s="2" t="s">
        <v>90</v>
      </c>
      <c r="L265" s="2">
        <f>N(correct_ratio_df__2[[#This Row],[correct_ratio]]&gt;0)</f>
        <v>1</v>
      </c>
      <c r="M265" s="2">
        <f>N(correct_ratio_df__2[[#This Row],[correct_ratio]]=1)</f>
        <v>1</v>
      </c>
      <c r="N265" s="2">
        <f>correct_ratio_df__2[[#This Row],[calc available]]-correct_ratio_df__2[[#This Row],[clac stable]]</f>
        <v>0</v>
      </c>
    </row>
    <row r="266" spans="1:14" x14ac:dyDescent="0.2">
      <c r="A266">
        <v>264</v>
      </c>
      <c r="B266" s="2" t="s">
        <v>65</v>
      </c>
      <c r="C266" s="2" t="s">
        <v>19</v>
      </c>
      <c r="D266" s="2" t="s">
        <v>18</v>
      </c>
      <c r="E266" s="2" t="s">
        <v>21</v>
      </c>
      <c r="F266" s="2" t="s">
        <v>82</v>
      </c>
      <c r="G266">
        <v>1</v>
      </c>
      <c r="H266" s="2" t="s">
        <v>13</v>
      </c>
      <c r="I266" s="2" t="s">
        <v>90</v>
      </c>
      <c r="L266" s="2">
        <f>N(correct_ratio_df__2[[#This Row],[correct_ratio]]&gt;0)</f>
        <v>1</v>
      </c>
      <c r="M266" s="2">
        <f>N(correct_ratio_df__2[[#This Row],[correct_ratio]]=1)</f>
        <v>1</v>
      </c>
      <c r="N266" s="2">
        <f>correct_ratio_df__2[[#This Row],[calc available]]-correct_ratio_df__2[[#This Row],[clac stable]]</f>
        <v>0</v>
      </c>
    </row>
    <row r="267" spans="1:14" x14ac:dyDescent="0.2">
      <c r="A267">
        <v>265</v>
      </c>
      <c r="B267" s="2" t="s">
        <v>66</v>
      </c>
      <c r="C267" s="2" t="s">
        <v>14</v>
      </c>
      <c r="D267" s="2" t="s">
        <v>18</v>
      </c>
      <c r="E267" s="2" t="s">
        <v>15</v>
      </c>
      <c r="F267" s="2" t="s">
        <v>82</v>
      </c>
      <c r="G267">
        <v>1</v>
      </c>
      <c r="H267" s="2" t="s">
        <v>13</v>
      </c>
      <c r="I267" s="2" t="s">
        <v>90</v>
      </c>
      <c r="L267" s="2">
        <f>N(correct_ratio_df__2[[#This Row],[correct_ratio]]&gt;0)</f>
        <v>1</v>
      </c>
      <c r="M267" s="2">
        <f>N(correct_ratio_df__2[[#This Row],[correct_ratio]]=1)</f>
        <v>1</v>
      </c>
      <c r="N267" s="2">
        <f>correct_ratio_df__2[[#This Row],[calc available]]-correct_ratio_df__2[[#This Row],[clac stable]]</f>
        <v>0</v>
      </c>
    </row>
    <row r="268" spans="1:14" x14ac:dyDescent="0.2">
      <c r="A268">
        <v>266</v>
      </c>
      <c r="B268" s="2" t="s">
        <v>67</v>
      </c>
      <c r="C268" s="2" t="s">
        <v>9</v>
      </c>
      <c r="D268" s="2" t="s">
        <v>17</v>
      </c>
      <c r="E268" s="2" t="s">
        <v>21</v>
      </c>
      <c r="F268" s="2" t="s">
        <v>82</v>
      </c>
      <c r="G268">
        <v>1</v>
      </c>
      <c r="H268" s="2" t="s">
        <v>13</v>
      </c>
      <c r="I268" s="2" t="s">
        <v>90</v>
      </c>
      <c r="L268" s="2">
        <f>N(correct_ratio_df__2[[#This Row],[correct_ratio]]&gt;0)</f>
        <v>1</v>
      </c>
      <c r="M268" s="2">
        <f>N(correct_ratio_df__2[[#This Row],[correct_ratio]]=1)</f>
        <v>1</v>
      </c>
      <c r="N268" s="2">
        <f>correct_ratio_df__2[[#This Row],[calc available]]-correct_ratio_df__2[[#This Row],[clac stable]]</f>
        <v>0</v>
      </c>
    </row>
    <row r="269" spans="1:14" x14ac:dyDescent="0.2">
      <c r="A269">
        <v>267</v>
      </c>
      <c r="B269" s="2" t="s">
        <v>68</v>
      </c>
      <c r="C269" s="2" t="s">
        <v>14</v>
      </c>
      <c r="D269" s="2" t="s">
        <v>17</v>
      </c>
      <c r="E269" s="2" t="s">
        <v>15</v>
      </c>
      <c r="F269" s="2" t="s">
        <v>82</v>
      </c>
      <c r="G269">
        <v>0.66666666666666663</v>
      </c>
      <c r="H269" s="2" t="s">
        <v>13</v>
      </c>
      <c r="I269" s="2" t="s">
        <v>90</v>
      </c>
      <c r="L269" s="2">
        <f>N(correct_ratio_df__2[[#This Row],[correct_ratio]]&gt;0)</f>
        <v>1</v>
      </c>
      <c r="M269" s="2">
        <f>N(correct_ratio_df__2[[#This Row],[correct_ratio]]=1)</f>
        <v>0</v>
      </c>
      <c r="N269" s="2">
        <f>correct_ratio_df__2[[#This Row],[calc available]]-correct_ratio_df__2[[#This Row],[clac stable]]</f>
        <v>1</v>
      </c>
    </row>
    <row r="270" spans="1:14" x14ac:dyDescent="0.2">
      <c r="A270">
        <v>268</v>
      </c>
      <c r="B270" s="2" t="s">
        <v>69</v>
      </c>
      <c r="C270" s="2" t="s">
        <v>22</v>
      </c>
      <c r="D270" s="2" t="s">
        <v>17</v>
      </c>
      <c r="E270" s="2" t="s">
        <v>11</v>
      </c>
      <c r="F270" s="2" t="s">
        <v>82</v>
      </c>
      <c r="G270">
        <v>1</v>
      </c>
      <c r="H270" s="2" t="s">
        <v>13</v>
      </c>
      <c r="I270" s="2" t="s">
        <v>90</v>
      </c>
      <c r="L270" s="2">
        <f>N(correct_ratio_df__2[[#This Row],[correct_ratio]]&gt;0)</f>
        <v>1</v>
      </c>
      <c r="M270" s="2">
        <f>N(correct_ratio_df__2[[#This Row],[correct_ratio]]=1)</f>
        <v>1</v>
      </c>
      <c r="N270" s="2">
        <f>correct_ratio_df__2[[#This Row],[calc available]]-correct_ratio_df__2[[#This Row],[clac stable]]</f>
        <v>0</v>
      </c>
    </row>
    <row r="271" spans="1:14" x14ac:dyDescent="0.2">
      <c r="A271">
        <v>269</v>
      </c>
      <c r="B271" s="2" t="s">
        <v>70</v>
      </c>
      <c r="C271" s="2" t="s">
        <v>9</v>
      </c>
      <c r="D271" s="2" t="s">
        <v>17</v>
      </c>
      <c r="E271" s="2" t="s">
        <v>15</v>
      </c>
      <c r="F271" s="2" t="s">
        <v>82</v>
      </c>
      <c r="G271">
        <v>1</v>
      </c>
      <c r="H271" s="2" t="s">
        <v>13</v>
      </c>
      <c r="I271" s="2" t="s">
        <v>90</v>
      </c>
      <c r="L271" s="2">
        <f>N(correct_ratio_df__2[[#This Row],[correct_ratio]]&gt;0)</f>
        <v>1</v>
      </c>
      <c r="M271" s="2">
        <f>N(correct_ratio_df__2[[#This Row],[correct_ratio]]=1)</f>
        <v>1</v>
      </c>
      <c r="N271" s="2">
        <f>correct_ratio_df__2[[#This Row],[calc available]]-correct_ratio_df__2[[#This Row],[clac stable]]</f>
        <v>0</v>
      </c>
    </row>
    <row r="272" spans="1:14" x14ac:dyDescent="0.2">
      <c r="A272">
        <v>270</v>
      </c>
      <c r="B272" s="2" t="s">
        <v>71</v>
      </c>
      <c r="C272" s="2" t="s">
        <v>9</v>
      </c>
      <c r="D272" s="2" t="s">
        <v>17</v>
      </c>
      <c r="E272" s="2" t="s">
        <v>21</v>
      </c>
      <c r="F272" s="2" t="s">
        <v>82</v>
      </c>
      <c r="G272">
        <v>1</v>
      </c>
      <c r="H272" s="2" t="s">
        <v>13</v>
      </c>
      <c r="I272" s="2" t="s">
        <v>90</v>
      </c>
      <c r="L272" s="2">
        <f>N(correct_ratio_df__2[[#This Row],[correct_ratio]]&gt;0)</f>
        <v>1</v>
      </c>
      <c r="M272" s="2">
        <f>N(correct_ratio_df__2[[#This Row],[correct_ratio]]=1)</f>
        <v>1</v>
      </c>
      <c r="N272" s="2">
        <f>correct_ratio_df__2[[#This Row],[calc available]]-correct_ratio_df__2[[#This Row],[clac stable]]</f>
        <v>0</v>
      </c>
    </row>
    <row r="273" spans="1:14" x14ac:dyDescent="0.2">
      <c r="A273">
        <v>271</v>
      </c>
      <c r="B273" s="2" t="s">
        <v>72</v>
      </c>
      <c r="C273" s="2" t="s">
        <v>19</v>
      </c>
      <c r="D273" s="2" t="s">
        <v>17</v>
      </c>
      <c r="E273" s="2" t="s">
        <v>11</v>
      </c>
      <c r="F273" s="2" t="s">
        <v>82</v>
      </c>
      <c r="G273">
        <v>1</v>
      </c>
      <c r="H273" s="2" t="s">
        <v>13</v>
      </c>
      <c r="I273" s="2" t="s">
        <v>90</v>
      </c>
      <c r="L273" s="2">
        <f>N(correct_ratio_df__2[[#This Row],[correct_ratio]]&gt;0)</f>
        <v>1</v>
      </c>
      <c r="M273" s="2">
        <f>N(correct_ratio_df__2[[#This Row],[correct_ratio]]=1)</f>
        <v>1</v>
      </c>
      <c r="N273" s="2">
        <f>correct_ratio_df__2[[#This Row],[calc available]]-correct_ratio_df__2[[#This Row],[clac stable]]</f>
        <v>0</v>
      </c>
    </row>
    <row r="274" spans="1:14" x14ac:dyDescent="0.2">
      <c r="A274">
        <v>272</v>
      </c>
      <c r="B274" s="2" t="s">
        <v>73</v>
      </c>
      <c r="C274" s="2" t="s">
        <v>16</v>
      </c>
      <c r="D274" s="2" t="s">
        <v>17</v>
      </c>
      <c r="E274" s="2" t="s">
        <v>11</v>
      </c>
      <c r="F274" s="2" t="s">
        <v>82</v>
      </c>
      <c r="G274">
        <v>1</v>
      </c>
      <c r="H274" s="2" t="s">
        <v>13</v>
      </c>
      <c r="I274" s="2" t="s">
        <v>90</v>
      </c>
      <c r="L274" s="2">
        <f>N(correct_ratio_df__2[[#This Row],[correct_ratio]]&gt;0)</f>
        <v>1</v>
      </c>
      <c r="M274" s="2">
        <f>N(correct_ratio_df__2[[#This Row],[correct_ratio]]=1)</f>
        <v>1</v>
      </c>
      <c r="N274" s="2">
        <f>correct_ratio_df__2[[#This Row],[calc available]]-correct_ratio_df__2[[#This Row],[clac stable]]</f>
        <v>0</v>
      </c>
    </row>
    <row r="275" spans="1:14" x14ac:dyDescent="0.2">
      <c r="A275">
        <v>273</v>
      </c>
      <c r="B275" s="2" t="s">
        <v>74</v>
      </c>
      <c r="C275" s="2" t="s">
        <v>22</v>
      </c>
      <c r="D275" s="2" t="s">
        <v>17</v>
      </c>
      <c r="E275" s="2" t="s">
        <v>21</v>
      </c>
      <c r="F275" s="2" t="s">
        <v>82</v>
      </c>
      <c r="G275">
        <v>1</v>
      </c>
      <c r="H275" s="2" t="s">
        <v>13</v>
      </c>
      <c r="I275" s="2" t="s">
        <v>90</v>
      </c>
      <c r="L275" s="2">
        <f>N(correct_ratio_df__2[[#This Row],[correct_ratio]]&gt;0)</f>
        <v>1</v>
      </c>
      <c r="M275" s="2">
        <f>N(correct_ratio_df__2[[#This Row],[correct_ratio]]=1)</f>
        <v>1</v>
      </c>
      <c r="N275" s="2">
        <f>correct_ratio_df__2[[#This Row],[calc available]]-correct_ratio_df__2[[#This Row],[clac stable]]</f>
        <v>0</v>
      </c>
    </row>
    <row r="276" spans="1:14" x14ac:dyDescent="0.2">
      <c r="A276">
        <v>274</v>
      </c>
      <c r="B276" s="2" t="s">
        <v>75</v>
      </c>
      <c r="C276" s="2" t="s">
        <v>14</v>
      </c>
      <c r="D276" s="2" t="s">
        <v>17</v>
      </c>
      <c r="E276" s="2" t="s">
        <v>21</v>
      </c>
      <c r="F276" s="2" t="s">
        <v>82</v>
      </c>
      <c r="G276">
        <v>1</v>
      </c>
      <c r="H276" s="2" t="s">
        <v>13</v>
      </c>
      <c r="I276" s="2" t="s">
        <v>90</v>
      </c>
      <c r="L276" s="2">
        <f>N(correct_ratio_df__2[[#This Row],[correct_ratio]]&gt;0)</f>
        <v>1</v>
      </c>
      <c r="M276" s="2">
        <f>N(correct_ratio_df__2[[#This Row],[correct_ratio]]=1)</f>
        <v>1</v>
      </c>
      <c r="N276" s="2">
        <f>correct_ratio_df__2[[#This Row],[calc available]]-correct_ratio_df__2[[#This Row],[clac stable]]</f>
        <v>0</v>
      </c>
    </row>
    <row r="277" spans="1:14" x14ac:dyDescent="0.2">
      <c r="A277">
        <v>275</v>
      </c>
      <c r="B277" s="2" t="s">
        <v>76</v>
      </c>
      <c r="C277" s="2" t="s">
        <v>14</v>
      </c>
      <c r="D277" s="2" t="s">
        <v>10</v>
      </c>
      <c r="E277" s="2" t="s">
        <v>21</v>
      </c>
      <c r="F277" s="2" t="s">
        <v>82</v>
      </c>
      <c r="G277">
        <v>1</v>
      </c>
      <c r="H277" s="2" t="s">
        <v>13</v>
      </c>
      <c r="I277" s="2" t="s">
        <v>90</v>
      </c>
      <c r="L277" s="2">
        <f>N(correct_ratio_df__2[[#This Row],[correct_ratio]]&gt;0)</f>
        <v>1</v>
      </c>
      <c r="M277" s="2">
        <f>N(correct_ratio_df__2[[#This Row],[correct_ratio]]=1)</f>
        <v>1</v>
      </c>
      <c r="N277" s="2">
        <f>correct_ratio_df__2[[#This Row],[calc available]]-correct_ratio_df__2[[#This Row],[clac stable]]</f>
        <v>0</v>
      </c>
    </row>
    <row r="278" spans="1:14" x14ac:dyDescent="0.2">
      <c r="A278">
        <v>276</v>
      </c>
      <c r="B278" s="2" t="s">
        <v>77</v>
      </c>
      <c r="C278" s="2" t="s">
        <v>9</v>
      </c>
      <c r="D278" s="2" t="s">
        <v>17</v>
      </c>
      <c r="E278" s="2" t="s">
        <v>15</v>
      </c>
      <c r="F278" s="2" t="s">
        <v>82</v>
      </c>
      <c r="G278">
        <v>1</v>
      </c>
      <c r="H278" s="2" t="s">
        <v>13</v>
      </c>
      <c r="I278" s="2" t="s">
        <v>90</v>
      </c>
      <c r="L278" s="2">
        <f>N(correct_ratio_df__2[[#This Row],[correct_ratio]]&gt;0)</f>
        <v>1</v>
      </c>
      <c r="M278" s="2">
        <f>N(correct_ratio_df__2[[#This Row],[correct_ratio]]=1)</f>
        <v>1</v>
      </c>
      <c r="N278" s="2">
        <f>correct_ratio_df__2[[#This Row],[calc available]]-correct_ratio_df__2[[#This Row],[clac stable]]</f>
        <v>0</v>
      </c>
    </row>
    <row r="279" spans="1:14" x14ac:dyDescent="0.2">
      <c r="A279">
        <v>277</v>
      </c>
      <c r="B279" s="2" t="s">
        <v>78</v>
      </c>
      <c r="C279" s="2" t="s">
        <v>9</v>
      </c>
      <c r="D279" s="2" t="s">
        <v>17</v>
      </c>
      <c r="E279" s="2" t="s">
        <v>21</v>
      </c>
      <c r="F279" s="2" t="s">
        <v>82</v>
      </c>
      <c r="G279">
        <v>1</v>
      </c>
      <c r="H279" s="2" t="s">
        <v>13</v>
      </c>
      <c r="I279" s="2" t="s">
        <v>90</v>
      </c>
      <c r="L279" s="2">
        <f>N(correct_ratio_df__2[[#This Row],[correct_ratio]]&gt;0)</f>
        <v>1</v>
      </c>
      <c r="M279" s="2">
        <f>N(correct_ratio_df__2[[#This Row],[correct_ratio]]=1)</f>
        <v>1</v>
      </c>
      <c r="N279" s="2">
        <f>correct_ratio_df__2[[#This Row],[calc available]]-correct_ratio_df__2[[#This Row],[clac stable]]</f>
        <v>0</v>
      </c>
    </row>
    <row r="280" spans="1:14" x14ac:dyDescent="0.2">
      <c r="A280">
        <v>278</v>
      </c>
      <c r="B280" s="2" t="s">
        <v>79</v>
      </c>
      <c r="C280" s="2" t="s">
        <v>14</v>
      </c>
      <c r="D280" s="2" t="s">
        <v>17</v>
      </c>
      <c r="E280" s="2" t="s">
        <v>11</v>
      </c>
      <c r="F280" s="2" t="s">
        <v>82</v>
      </c>
      <c r="G280">
        <v>1</v>
      </c>
      <c r="H280" s="2" t="s">
        <v>13</v>
      </c>
      <c r="I280" s="2" t="s">
        <v>90</v>
      </c>
      <c r="L280" s="2">
        <f>N(correct_ratio_df__2[[#This Row],[correct_ratio]]&gt;0)</f>
        <v>1</v>
      </c>
      <c r="M280" s="2">
        <f>N(correct_ratio_df__2[[#This Row],[correct_ratio]]=1)</f>
        <v>1</v>
      </c>
      <c r="N280" s="2">
        <f>correct_ratio_df__2[[#This Row],[calc available]]-correct_ratio_df__2[[#This Row],[clac stable]]</f>
        <v>0</v>
      </c>
    </row>
    <row r="281" spans="1:14" x14ac:dyDescent="0.2">
      <c r="A281">
        <v>279</v>
      </c>
      <c r="B281" s="2" t="s">
        <v>80</v>
      </c>
      <c r="C281" s="2" t="s">
        <v>22</v>
      </c>
      <c r="D281" s="2" t="s">
        <v>20</v>
      </c>
      <c r="E281" s="2" t="s">
        <v>11</v>
      </c>
      <c r="F281" s="2" t="s">
        <v>82</v>
      </c>
      <c r="G281">
        <v>0</v>
      </c>
      <c r="H281" s="2" t="s">
        <v>13</v>
      </c>
      <c r="I281" s="2" t="s">
        <v>90</v>
      </c>
      <c r="L281" s="2">
        <f>N(correct_ratio_df__2[[#This Row],[correct_ratio]]&gt;0)</f>
        <v>0</v>
      </c>
      <c r="M281" s="2">
        <f>N(correct_ratio_df__2[[#This Row],[correct_ratio]]=1)</f>
        <v>0</v>
      </c>
      <c r="N281" s="2">
        <f>correct_ratio_df__2[[#This Row],[calc available]]-correct_ratio_df__2[[#This Row],[clac stable]]</f>
        <v>0</v>
      </c>
    </row>
    <row r="282" spans="1:14" x14ac:dyDescent="0.2">
      <c r="A282">
        <v>280</v>
      </c>
      <c r="B282" s="2" t="s">
        <v>41</v>
      </c>
      <c r="C282" s="2" t="s">
        <v>9</v>
      </c>
      <c r="D282" s="2" t="s">
        <v>10</v>
      </c>
      <c r="E282" s="2" t="s">
        <v>11</v>
      </c>
      <c r="F282" s="2" t="s">
        <v>28</v>
      </c>
      <c r="G282">
        <v>1</v>
      </c>
      <c r="H282" s="2" t="s">
        <v>24</v>
      </c>
      <c r="I282" s="2" t="s">
        <v>87</v>
      </c>
      <c r="L282" s="2">
        <f>N(correct_ratio_df__2[[#This Row],[correct_ratio]]&gt;0)</f>
        <v>1</v>
      </c>
      <c r="M282" s="2">
        <f>N(correct_ratio_df__2[[#This Row],[correct_ratio]]=1)</f>
        <v>1</v>
      </c>
      <c r="N282" s="2">
        <f>correct_ratio_df__2[[#This Row],[calc available]]-correct_ratio_df__2[[#This Row],[clac stable]]</f>
        <v>0</v>
      </c>
    </row>
    <row r="283" spans="1:14" x14ac:dyDescent="0.2">
      <c r="A283">
        <v>281</v>
      </c>
      <c r="B283" s="2" t="s">
        <v>42</v>
      </c>
      <c r="C283" s="2" t="s">
        <v>14</v>
      </c>
      <c r="D283" s="2" t="s">
        <v>10</v>
      </c>
      <c r="E283" s="2" t="s">
        <v>15</v>
      </c>
      <c r="F283" s="2" t="s">
        <v>28</v>
      </c>
      <c r="G283">
        <v>1</v>
      </c>
      <c r="H283" s="2" t="s">
        <v>24</v>
      </c>
      <c r="I283" s="2" t="s">
        <v>87</v>
      </c>
      <c r="L283" s="2">
        <f>N(correct_ratio_df__2[[#This Row],[correct_ratio]]&gt;0)</f>
        <v>1</v>
      </c>
      <c r="M283" s="2">
        <f>N(correct_ratio_df__2[[#This Row],[correct_ratio]]=1)</f>
        <v>1</v>
      </c>
      <c r="N283" s="2">
        <f>correct_ratio_df__2[[#This Row],[calc available]]-correct_ratio_df__2[[#This Row],[clac stable]]</f>
        <v>0</v>
      </c>
    </row>
    <row r="284" spans="1:14" x14ac:dyDescent="0.2">
      <c r="A284">
        <v>282</v>
      </c>
      <c r="B284" s="2" t="s">
        <v>43</v>
      </c>
      <c r="C284" s="2" t="s">
        <v>16</v>
      </c>
      <c r="D284" s="2" t="s">
        <v>17</v>
      </c>
      <c r="E284" s="2" t="s">
        <v>11</v>
      </c>
      <c r="F284" s="2" t="s">
        <v>28</v>
      </c>
      <c r="G284">
        <v>1</v>
      </c>
      <c r="H284" s="2" t="s">
        <v>24</v>
      </c>
      <c r="I284" s="2" t="s">
        <v>87</v>
      </c>
      <c r="L284" s="2">
        <f>N(correct_ratio_df__2[[#This Row],[correct_ratio]]&gt;0)</f>
        <v>1</v>
      </c>
      <c r="M284" s="2">
        <f>N(correct_ratio_df__2[[#This Row],[correct_ratio]]=1)</f>
        <v>1</v>
      </c>
      <c r="N284" s="2">
        <f>correct_ratio_df__2[[#This Row],[calc available]]-correct_ratio_df__2[[#This Row],[clac stable]]</f>
        <v>0</v>
      </c>
    </row>
    <row r="285" spans="1:14" x14ac:dyDescent="0.2">
      <c r="A285">
        <v>283</v>
      </c>
      <c r="B285" s="2" t="s">
        <v>44</v>
      </c>
      <c r="C285" s="2" t="s">
        <v>16</v>
      </c>
      <c r="D285" s="2" t="s">
        <v>10</v>
      </c>
      <c r="E285" s="2" t="s">
        <v>15</v>
      </c>
      <c r="F285" s="2" t="s">
        <v>28</v>
      </c>
      <c r="G285">
        <v>0.33333333333333331</v>
      </c>
      <c r="H285" s="2" t="s">
        <v>24</v>
      </c>
      <c r="I285" s="2" t="s">
        <v>87</v>
      </c>
      <c r="L285" s="2">
        <f>N(correct_ratio_df__2[[#This Row],[correct_ratio]]&gt;0)</f>
        <v>1</v>
      </c>
      <c r="M285" s="2">
        <f>N(correct_ratio_df__2[[#This Row],[correct_ratio]]=1)</f>
        <v>0</v>
      </c>
      <c r="N285" s="2">
        <f>correct_ratio_df__2[[#This Row],[calc available]]-correct_ratio_df__2[[#This Row],[clac stable]]</f>
        <v>1</v>
      </c>
    </row>
    <row r="286" spans="1:14" x14ac:dyDescent="0.2">
      <c r="A286">
        <v>284</v>
      </c>
      <c r="B286" s="2" t="s">
        <v>45</v>
      </c>
      <c r="C286" s="2" t="s">
        <v>14</v>
      </c>
      <c r="D286" s="2" t="s">
        <v>18</v>
      </c>
      <c r="E286" s="2" t="s">
        <v>15</v>
      </c>
      <c r="F286" s="2" t="s">
        <v>28</v>
      </c>
      <c r="G286">
        <v>1</v>
      </c>
      <c r="H286" s="2" t="s">
        <v>24</v>
      </c>
      <c r="I286" s="2" t="s">
        <v>87</v>
      </c>
      <c r="L286" s="2">
        <f>N(correct_ratio_df__2[[#This Row],[correct_ratio]]&gt;0)</f>
        <v>1</v>
      </c>
      <c r="M286" s="2">
        <f>N(correct_ratio_df__2[[#This Row],[correct_ratio]]=1)</f>
        <v>1</v>
      </c>
      <c r="N286" s="2">
        <f>correct_ratio_df__2[[#This Row],[calc available]]-correct_ratio_df__2[[#This Row],[clac stable]]</f>
        <v>0</v>
      </c>
    </row>
    <row r="287" spans="1:14" x14ac:dyDescent="0.2">
      <c r="A287">
        <v>285</v>
      </c>
      <c r="B287" s="2" t="s">
        <v>46</v>
      </c>
      <c r="C287" s="2" t="s">
        <v>14</v>
      </c>
      <c r="D287" s="2" t="s">
        <v>10</v>
      </c>
      <c r="E287" s="2" t="s">
        <v>15</v>
      </c>
      <c r="F287" s="2" t="s">
        <v>28</v>
      </c>
      <c r="G287">
        <v>1</v>
      </c>
      <c r="H287" s="2" t="s">
        <v>24</v>
      </c>
      <c r="I287" s="2" t="s">
        <v>87</v>
      </c>
      <c r="L287" s="2">
        <f>N(correct_ratio_df__2[[#This Row],[correct_ratio]]&gt;0)</f>
        <v>1</v>
      </c>
      <c r="M287" s="2">
        <f>N(correct_ratio_df__2[[#This Row],[correct_ratio]]=1)</f>
        <v>1</v>
      </c>
      <c r="N287" s="2">
        <f>correct_ratio_df__2[[#This Row],[calc available]]-correct_ratio_df__2[[#This Row],[clac stable]]</f>
        <v>0</v>
      </c>
    </row>
    <row r="288" spans="1:14" x14ac:dyDescent="0.2">
      <c r="A288">
        <v>286</v>
      </c>
      <c r="B288" s="2" t="s">
        <v>47</v>
      </c>
      <c r="C288" s="2" t="s">
        <v>19</v>
      </c>
      <c r="D288" s="2" t="s">
        <v>10</v>
      </c>
      <c r="E288" s="2" t="s">
        <v>15</v>
      </c>
      <c r="F288" s="2" t="s">
        <v>28</v>
      </c>
      <c r="G288">
        <v>1</v>
      </c>
      <c r="H288" s="2" t="s">
        <v>24</v>
      </c>
      <c r="I288" s="2" t="s">
        <v>87</v>
      </c>
      <c r="L288" s="2">
        <f>N(correct_ratio_df__2[[#This Row],[correct_ratio]]&gt;0)</f>
        <v>1</v>
      </c>
      <c r="M288" s="2">
        <f>N(correct_ratio_df__2[[#This Row],[correct_ratio]]=1)</f>
        <v>1</v>
      </c>
      <c r="N288" s="2">
        <f>correct_ratio_df__2[[#This Row],[calc available]]-correct_ratio_df__2[[#This Row],[clac stable]]</f>
        <v>0</v>
      </c>
    </row>
    <row r="289" spans="1:14" x14ac:dyDescent="0.2">
      <c r="A289">
        <v>287</v>
      </c>
      <c r="B289" s="2" t="s">
        <v>48</v>
      </c>
      <c r="C289" s="2" t="s">
        <v>16</v>
      </c>
      <c r="D289" s="2" t="s">
        <v>20</v>
      </c>
      <c r="E289" s="2" t="s">
        <v>21</v>
      </c>
      <c r="F289" s="2" t="s">
        <v>28</v>
      </c>
      <c r="G289">
        <v>1</v>
      </c>
      <c r="H289" s="2" t="s">
        <v>24</v>
      </c>
      <c r="I289" s="2" t="s">
        <v>87</v>
      </c>
      <c r="L289" s="2">
        <f>N(correct_ratio_df__2[[#This Row],[correct_ratio]]&gt;0)</f>
        <v>1</v>
      </c>
      <c r="M289" s="2">
        <f>N(correct_ratio_df__2[[#This Row],[correct_ratio]]=1)</f>
        <v>1</v>
      </c>
      <c r="N289" s="2">
        <f>correct_ratio_df__2[[#This Row],[calc available]]-correct_ratio_df__2[[#This Row],[clac stable]]</f>
        <v>0</v>
      </c>
    </row>
    <row r="290" spans="1:14" x14ac:dyDescent="0.2">
      <c r="A290">
        <v>288</v>
      </c>
      <c r="B290" s="2" t="s">
        <v>49</v>
      </c>
      <c r="C290" s="2" t="s">
        <v>16</v>
      </c>
      <c r="D290" s="2" t="s">
        <v>10</v>
      </c>
      <c r="E290" s="2" t="s">
        <v>21</v>
      </c>
      <c r="F290" s="2" t="s">
        <v>28</v>
      </c>
      <c r="G290">
        <v>1</v>
      </c>
      <c r="H290" s="2" t="s">
        <v>24</v>
      </c>
      <c r="I290" s="2" t="s">
        <v>87</v>
      </c>
      <c r="L290" s="2">
        <f>N(correct_ratio_df__2[[#This Row],[correct_ratio]]&gt;0)</f>
        <v>1</v>
      </c>
      <c r="M290" s="2">
        <f>N(correct_ratio_df__2[[#This Row],[correct_ratio]]=1)</f>
        <v>1</v>
      </c>
      <c r="N290" s="2">
        <f>correct_ratio_df__2[[#This Row],[calc available]]-correct_ratio_df__2[[#This Row],[clac stable]]</f>
        <v>0</v>
      </c>
    </row>
    <row r="291" spans="1:14" x14ac:dyDescent="0.2">
      <c r="A291">
        <v>289</v>
      </c>
      <c r="B291" s="2" t="s">
        <v>50</v>
      </c>
      <c r="C291" s="2" t="s">
        <v>9</v>
      </c>
      <c r="D291" s="2" t="s">
        <v>17</v>
      </c>
      <c r="E291" s="2" t="s">
        <v>21</v>
      </c>
      <c r="F291" s="2" t="s">
        <v>28</v>
      </c>
      <c r="G291">
        <v>1</v>
      </c>
      <c r="H291" s="2" t="s">
        <v>24</v>
      </c>
      <c r="I291" s="2" t="s">
        <v>87</v>
      </c>
      <c r="L291" s="2">
        <f>N(correct_ratio_df__2[[#This Row],[correct_ratio]]&gt;0)</f>
        <v>1</v>
      </c>
      <c r="M291" s="2">
        <f>N(correct_ratio_df__2[[#This Row],[correct_ratio]]=1)</f>
        <v>1</v>
      </c>
      <c r="N291" s="2">
        <f>correct_ratio_df__2[[#This Row],[calc available]]-correct_ratio_df__2[[#This Row],[clac stable]]</f>
        <v>0</v>
      </c>
    </row>
    <row r="292" spans="1:14" x14ac:dyDescent="0.2">
      <c r="A292">
        <v>290</v>
      </c>
      <c r="B292" s="2" t="s">
        <v>51</v>
      </c>
      <c r="C292" s="2" t="s">
        <v>16</v>
      </c>
      <c r="D292" s="2" t="s">
        <v>17</v>
      </c>
      <c r="E292" s="2" t="s">
        <v>11</v>
      </c>
      <c r="F292" s="2" t="s">
        <v>28</v>
      </c>
      <c r="G292">
        <v>1</v>
      </c>
      <c r="H292" s="2" t="s">
        <v>24</v>
      </c>
      <c r="I292" s="2" t="s">
        <v>87</v>
      </c>
      <c r="L292" s="2">
        <f>N(correct_ratio_df__2[[#This Row],[correct_ratio]]&gt;0)</f>
        <v>1</v>
      </c>
      <c r="M292" s="2">
        <f>N(correct_ratio_df__2[[#This Row],[correct_ratio]]=1)</f>
        <v>1</v>
      </c>
      <c r="N292" s="2">
        <f>correct_ratio_df__2[[#This Row],[calc available]]-correct_ratio_df__2[[#This Row],[clac stable]]</f>
        <v>0</v>
      </c>
    </row>
    <row r="293" spans="1:14" x14ac:dyDescent="0.2">
      <c r="A293">
        <v>291</v>
      </c>
      <c r="B293" s="2" t="s">
        <v>52</v>
      </c>
      <c r="C293" s="2" t="s">
        <v>9</v>
      </c>
      <c r="D293" s="2" t="s">
        <v>17</v>
      </c>
      <c r="E293" s="2" t="s">
        <v>15</v>
      </c>
      <c r="F293" s="2" t="s">
        <v>28</v>
      </c>
      <c r="G293">
        <v>1</v>
      </c>
      <c r="H293" s="2" t="s">
        <v>24</v>
      </c>
      <c r="I293" s="2" t="s">
        <v>87</v>
      </c>
      <c r="L293" s="2">
        <f>N(correct_ratio_df__2[[#This Row],[correct_ratio]]&gt;0)</f>
        <v>1</v>
      </c>
      <c r="M293" s="2">
        <f>N(correct_ratio_df__2[[#This Row],[correct_ratio]]=1)</f>
        <v>1</v>
      </c>
      <c r="N293" s="2">
        <f>correct_ratio_df__2[[#This Row],[calc available]]-correct_ratio_df__2[[#This Row],[clac stable]]</f>
        <v>0</v>
      </c>
    </row>
    <row r="294" spans="1:14" x14ac:dyDescent="0.2">
      <c r="A294">
        <v>292</v>
      </c>
      <c r="B294" s="2" t="s">
        <v>53</v>
      </c>
      <c r="C294" s="2" t="s">
        <v>19</v>
      </c>
      <c r="D294" s="2" t="s">
        <v>17</v>
      </c>
      <c r="E294" s="2" t="s">
        <v>21</v>
      </c>
      <c r="F294" s="2" t="s">
        <v>28</v>
      </c>
      <c r="G294">
        <v>0.66666666666666663</v>
      </c>
      <c r="H294" s="2" t="s">
        <v>24</v>
      </c>
      <c r="I294" s="2" t="s">
        <v>87</v>
      </c>
      <c r="L294" s="2">
        <f>N(correct_ratio_df__2[[#This Row],[correct_ratio]]&gt;0)</f>
        <v>1</v>
      </c>
      <c r="M294" s="2">
        <f>N(correct_ratio_df__2[[#This Row],[correct_ratio]]=1)</f>
        <v>0</v>
      </c>
      <c r="N294" s="2">
        <f>correct_ratio_df__2[[#This Row],[calc available]]-correct_ratio_df__2[[#This Row],[clac stable]]</f>
        <v>1</v>
      </c>
    </row>
    <row r="295" spans="1:14" x14ac:dyDescent="0.2">
      <c r="A295">
        <v>293</v>
      </c>
      <c r="B295" s="2" t="s">
        <v>54</v>
      </c>
      <c r="C295" s="2" t="s">
        <v>14</v>
      </c>
      <c r="D295" s="2" t="s">
        <v>17</v>
      </c>
      <c r="E295" s="2" t="s">
        <v>15</v>
      </c>
      <c r="F295" s="2" t="s">
        <v>28</v>
      </c>
      <c r="G295">
        <v>1</v>
      </c>
      <c r="H295" s="2" t="s">
        <v>24</v>
      </c>
      <c r="I295" s="2" t="s">
        <v>87</v>
      </c>
      <c r="L295" s="2">
        <f>N(correct_ratio_df__2[[#This Row],[correct_ratio]]&gt;0)</f>
        <v>1</v>
      </c>
      <c r="M295" s="2">
        <f>N(correct_ratio_df__2[[#This Row],[correct_ratio]]=1)</f>
        <v>1</v>
      </c>
      <c r="N295" s="2">
        <f>correct_ratio_df__2[[#This Row],[calc available]]-correct_ratio_df__2[[#This Row],[clac stable]]</f>
        <v>0</v>
      </c>
    </row>
    <row r="296" spans="1:14" x14ac:dyDescent="0.2">
      <c r="A296">
        <v>294</v>
      </c>
      <c r="B296" s="2" t="s">
        <v>55</v>
      </c>
      <c r="C296" s="2" t="s">
        <v>9</v>
      </c>
      <c r="D296" s="2" t="s">
        <v>18</v>
      </c>
      <c r="E296" s="2" t="s">
        <v>21</v>
      </c>
      <c r="F296" s="2" t="s">
        <v>28</v>
      </c>
      <c r="G296">
        <v>1</v>
      </c>
      <c r="H296" s="2" t="s">
        <v>24</v>
      </c>
      <c r="I296" s="2" t="s">
        <v>87</v>
      </c>
      <c r="L296" s="2">
        <f>N(correct_ratio_df__2[[#This Row],[correct_ratio]]&gt;0)</f>
        <v>1</v>
      </c>
      <c r="M296" s="2">
        <f>N(correct_ratio_df__2[[#This Row],[correct_ratio]]=1)</f>
        <v>1</v>
      </c>
      <c r="N296" s="2">
        <f>correct_ratio_df__2[[#This Row],[calc available]]-correct_ratio_df__2[[#This Row],[clac stable]]</f>
        <v>0</v>
      </c>
    </row>
    <row r="297" spans="1:14" x14ac:dyDescent="0.2">
      <c r="A297">
        <v>295</v>
      </c>
      <c r="B297" s="2" t="s">
        <v>56</v>
      </c>
      <c r="C297" s="2" t="s">
        <v>19</v>
      </c>
      <c r="D297" s="2" t="s">
        <v>17</v>
      </c>
      <c r="E297" s="2" t="s">
        <v>21</v>
      </c>
      <c r="F297" s="2" t="s">
        <v>28</v>
      </c>
      <c r="G297">
        <v>0</v>
      </c>
      <c r="H297" s="2" t="s">
        <v>24</v>
      </c>
      <c r="I297" s="2" t="s">
        <v>87</v>
      </c>
      <c r="L297" s="2">
        <f>N(correct_ratio_df__2[[#This Row],[correct_ratio]]&gt;0)</f>
        <v>0</v>
      </c>
      <c r="M297" s="2">
        <f>N(correct_ratio_df__2[[#This Row],[correct_ratio]]=1)</f>
        <v>0</v>
      </c>
      <c r="N297" s="2">
        <f>correct_ratio_df__2[[#This Row],[calc available]]-correct_ratio_df__2[[#This Row],[clac stable]]</f>
        <v>0</v>
      </c>
    </row>
    <row r="298" spans="1:14" x14ac:dyDescent="0.2">
      <c r="A298">
        <v>296</v>
      </c>
      <c r="B298" s="2" t="s">
        <v>57</v>
      </c>
      <c r="C298" s="2" t="s">
        <v>9</v>
      </c>
      <c r="D298" s="2" t="s">
        <v>17</v>
      </c>
      <c r="E298" s="2" t="s">
        <v>21</v>
      </c>
      <c r="F298" s="2" t="s">
        <v>28</v>
      </c>
      <c r="G298">
        <v>1</v>
      </c>
      <c r="H298" s="2" t="s">
        <v>24</v>
      </c>
      <c r="I298" s="2" t="s">
        <v>87</v>
      </c>
      <c r="L298" s="2">
        <f>N(correct_ratio_df__2[[#This Row],[correct_ratio]]&gt;0)</f>
        <v>1</v>
      </c>
      <c r="M298" s="2">
        <f>N(correct_ratio_df__2[[#This Row],[correct_ratio]]=1)</f>
        <v>1</v>
      </c>
      <c r="N298" s="2">
        <f>correct_ratio_df__2[[#This Row],[calc available]]-correct_ratio_df__2[[#This Row],[clac stable]]</f>
        <v>0</v>
      </c>
    </row>
    <row r="299" spans="1:14" x14ac:dyDescent="0.2">
      <c r="A299">
        <v>297</v>
      </c>
      <c r="B299" s="2" t="s">
        <v>58</v>
      </c>
      <c r="C299" s="2" t="s">
        <v>9</v>
      </c>
      <c r="D299" s="2" t="s">
        <v>17</v>
      </c>
      <c r="E299" s="2" t="s">
        <v>21</v>
      </c>
      <c r="F299" s="2" t="s">
        <v>28</v>
      </c>
      <c r="G299">
        <v>0.66666666666666663</v>
      </c>
      <c r="H299" s="2" t="s">
        <v>24</v>
      </c>
      <c r="I299" s="2" t="s">
        <v>87</v>
      </c>
      <c r="L299" s="2">
        <f>N(correct_ratio_df__2[[#This Row],[correct_ratio]]&gt;0)</f>
        <v>1</v>
      </c>
      <c r="M299" s="2">
        <f>N(correct_ratio_df__2[[#This Row],[correct_ratio]]=1)</f>
        <v>0</v>
      </c>
      <c r="N299" s="2">
        <f>correct_ratio_df__2[[#This Row],[calc available]]-correct_ratio_df__2[[#This Row],[clac stable]]</f>
        <v>1</v>
      </c>
    </row>
    <row r="300" spans="1:14" x14ac:dyDescent="0.2">
      <c r="A300">
        <v>298</v>
      </c>
      <c r="B300" s="2" t="s">
        <v>59</v>
      </c>
      <c r="C300" s="2" t="s">
        <v>19</v>
      </c>
      <c r="D300" s="2" t="s">
        <v>17</v>
      </c>
      <c r="E300" s="2" t="s">
        <v>15</v>
      </c>
      <c r="F300" s="2" t="s">
        <v>28</v>
      </c>
      <c r="G300">
        <v>1</v>
      </c>
      <c r="H300" s="2" t="s">
        <v>24</v>
      </c>
      <c r="I300" s="2" t="s">
        <v>87</v>
      </c>
      <c r="L300" s="2">
        <f>N(correct_ratio_df__2[[#This Row],[correct_ratio]]&gt;0)</f>
        <v>1</v>
      </c>
      <c r="M300" s="2">
        <f>N(correct_ratio_df__2[[#This Row],[correct_ratio]]=1)</f>
        <v>1</v>
      </c>
      <c r="N300" s="2">
        <f>correct_ratio_df__2[[#This Row],[calc available]]-correct_ratio_df__2[[#This Row],[clac stable]]</f>
        <v>0</v>
      </c>
    </row>
    <row r="301" spans="1:14" x14ac:dyDescent="0.2">
      <c r="A301">
        <v>299</v>
      </c>
      <c r="B301" s="2" t="s">
        <v>60</v>
      </c>
      <c r="C301" s="2" t="s">
        <v>9</v>
      </c>
      <c r="D301" s="2" t="s">
        <v>17</v>
      </c>
      <c r="E301" s="2" t="s">
        <v>21</v>
      </c>
      <c r="F301" s="2" t="s">
        <v>28</v>
      </c>
      <c r="G301">
        <v>0</v>
      </c>
      <c r="H301" s="2" t="s">
        <v>24</v>
      </c>
      <c r="I301" s="2" t="s">
        <v>87</v>
      </c>
      <c r="L301" s="2">
        <f>N(correct_ratio_df__2[[#This Row],[correct_ratio]]&gt;0)</f>
        <v>0</v>
      </c>
      <c r="M301" s="2">
        <f>N(correct_ratio_df__2[[#This Row],[correct_ratio]]=1)</f>
        <v>0</v>
      </c>
      <c r="N301" s="2">
        <f>correct_ratio_df__2[[#This Row],[calc available]]-correct_ratio_df__2[[#This Row],[clac stable]]</f>
        <v>0</v>
      </c>
    </row>
    <row r="302" spans="1:14" x14ac:dyDescent="0.2">
      <c r="A302">
        <v>300</v>
      </c>
      <c r="B302" s="2" t="s">
        <v>61</v>
      </c>
      <c r="C302" s="2" t="s">
        <v>14</v>
      </c>
      <c r="D302" s="2" t="s">
        <v>10</v>
      </c>
      <c r="E302" s="2" t="s">
        <v>11</v>
      </c>
      <c r="F302" s="2" t="s">
        <v>28</v>
      </c>
      <c r="G302">
        <v>1</v>
      </c>
      <c r="H302" s="2" t="s">
        <v>24</v>
      </c>
      <c r="I302" s="2" t="s">
        <v>87</v>
      </c>
      <c r="L302" s="2">
        <f>N(correct_ratio_df__2[[#This Row],[correct_ratio]]&gt;0)</f>
        <v>1</v>
      </c>
      <c r="M302" s="2">
        <f>N(correct_ratio_df__2[[#This Row],[correct_ratio]]=1)</f>
        <v>1</v>
      </c>
      <c r="N302" s="2">
        <f>correct_ratio_df__2[[#This Row],[calc available]]-correct_ratio_df__2[[#This Row],[clac stable]]</f>
        <v>0</v>
      </c>
    </row>
    <row r="303" spans="1:14" x14ac:dyDescent="0.2">
      <c r="A303">
        <v>301</v>
      </c>
      <c r="B303" s="2" t="s">
        <v>62</v>
      </c>
      <c r="C303" s="2" t="s">
        <v>16</v>
      </c>
      <c r="D303" s="2" t="s">
        <v>18</v>
      </c>
      <c r="E303" s="2" t="s">
        <v>11</v>
      </c>
      <c r="F303" s="2" t="s">
        <v>28</v>
      </c>
      <c r="G303">
        <v>1</v>
      </c>
      <c r="H303" s="2" t="s">
        <v>24</v>
      </c>
      <c r="I303" s="2" t="s">
        <v>87</v>
      </c>
      <c r="L303" s="2">
        <f>N(correct_ratio_df__2[[#This Row],[correct_ratio]]&gt;0)</f>
        <v>1</v>
      </c>
      <c r="M303" s="2">
        <f>N(correct_ratio_df__2[[#This Row],[correct_ratio]]=1)</f>
        <v>1</v>
      </c>
      <c r="N303" s="2">
        <f>correct_ratio_df__2[[#This Row],[calc available]]-correct_ratio_df__2[[#This Row],[clac stable]]</f>
        <v>0</v>
      </c>
    </row>
    <row r="304" spans="1:14" x14ac:dyDescent="0.2">
      <c r="A304">
        <v>302</v>
      </c>
      <c r="B304" s="2" t="s">
        <v>63</v>
      </c>
      <c r="C304" s="2" t="s">
        <v>9</v>
      </c>
      <c r="D304" s="2" t="s">
        <v>20</v>
      </c>
      <c r="E304" s="2" t="s">
        <v>15</v>
      </c>
      <c r="F304" s="2" t="s">
        <v>28</v>
      </c>
      <c r="G304">
        <v>0.66666666666666663</v>
      </c>
      <c r="H304" s="2" t="s">
        <v>24</v>
      </c>
      <c r="I304" s="2" t="s">
        <v>87</v>
      </c>
      <c r="L304" s="2">
        <f>N(correct_ratio_df__2[[#This Row],[correct_ratio]]&gt;0)</f>
        <v>1</v>
      </c>
      <c r="M304" s="2">
        <f>N(correct_ratio_df__2[[#This Row],[correct_ratio]]=1)</f>
        <v>0</v>
      </c>
      <c r="N304" s="2">
        <f>correct_ratio_df__2[[#This Row],[calc available]]-correct_ratio_df__2[[#This Row],[clac stable]]</f>
        <v>1</v>
      </c>
    </row>
    <row r="305" spans="1:14" x14ac:dyDescent="0.2">
      <c r="A305">
        <v>303</v>
      </c>
      <c r="B305" s="2" t="s">
        <v>64</v>
      </c>
      <c r="C305" s="2" t="s">
        <v>14</v>
      </c>
      <c r="D305" s="2" t="s">
        <v>17</v>
      </c>
      <c r="E305" s="2" t="s">
        <v>11</v>
      </c>
      <c r="F305" s="2" t="s">
        <v>28</v>
      </c>
      <c r="G305">
        <v>1</v>
      </c>
      <c r="H305" s="2" t="s">
        <v>24</v>
      </c>
      <c r="I305" s="2" t="s">
        <v>87</v>
      </c>
      <c r="L305" s="2">
        <f>N(correct_ratio_df__2[[#This Row],[correct_ratio]]&gt;0)</f>
        <v>1</v>
      </c>
      <c r="M305" s="2">
        <f>N(correct_ratio_df__2[[#This Row],[correct_ratio]]=1)</f>
        <v>1</v>
      </c>
      <c r="N305" s="2">
        <f>correct_ratio_df__2[[#This Row],[calc available]]-correct_ratio_df__2[[#This Row],[clac stable]]</f>
        <v>0</v>
      </c>
    </row>
    <row r="306" spans="1:14" x14ac:dyDescent="0.2">
      <c r="A306">
        <v>304</v>
      </c>
      <c r="B306" s="2" t="s">
        <v>65</v>
      </c>
      <c r="C306" s="2" t="s">
        <v>19</v>
      </c>
      <c r="D306" s="2" t="s">
        <v>18</v>
      </c>
      <c r="E306" s="2" t="s">
        <v>21</v>
      </c>
      <c r="F306" s="2" t="s">
        <v>28</v>
      </c>
      <c r="G306">
        <v>1</v>
      </c>
      <c r="H306" s="2" t="s">
        <v>24</v>
      </c>
      <c r="I306" s="2" t="s">
        <v>87</v>
      </c>
      <c r="L306" s="2">
        <f>N(correct_ratio_df__2[[#This Row],[correct_ratio]]&gt;0)</f>
        <v>1</v>
      </c>
      <c r="M306" s="2">
        <f>N(correct_ratio_df__2[[#This Row],[correct_ratio]]=1)</f>
        <v>1</v>
      </c>
      <c r="N306" s="2">
        <f>correct_ratio_df__2[[#This Row],[calc available]]-correct_ratio_df__2[[#This Row],[clac stable]]</f>
        <v>0</v>
      </c>
    </row>
    <row r="307" spans="1:14" x14ac:dyDescent="0.2">
      <c r="A307">
        <v>305</v>
      </c>
      <c r="B307" s="2" t="s">
        <v>66</v>
      </c>
      <c r="C307" s="2" t="s">
        <v>14</v>
      </c>
      <c r="D307" s="2" t="s">
        <v>18</v>
      </c>
      <c r="E307" s="2" t="s">
        <v>15</v>
      </c>
      <c r="F307" s="2" t="s">
        <v>28</v>
      </c>
      <c r="G307">
        <v>1</v>
      </c>
      <c r="H307" s="2" t="s">
        <v>24</v>
      </c>
      <c r="I307" s="2" t="s">
        <v>87</v>
      </c>
      <c r="L307" s="2">
        <f>N(correct_ratio_df__2[[#This Row],[correct_ratio]]&gt;0)</f>
        <v>1</v>
      </c>
      <c r="M307" s="2">
        <f>N(correct_ratio_df__2[[#This Row],[correct_ratio]]=1)</f>
        <v>1</v>
      </c>
      <c r="N307" s="2">
        <f>correct_ratio_df__2[[#This Row],[calc available]]-correct_ratio_df__2[[#This Row],[clac stable]]</f>
        <v>0</v>
      </c>
    </row>
    <row r="308" spans="1:14" x14ac:dyDescent="0.2">
      <c r="A308">
        <v>306</v>
      </c>
      <c r="B308" s="2" t="s">
        <v>67</v>
      </c>
      <c r="C308" s="2" t="s">
        <v>9</v>
      </c>
      <c r="D308" s="2" t="s">
        <v>17</v>
      </c>
      <c r="E308" s="2" t="s">
        <v>21</v>
      </c>
      <c r="F308" s="2" t="s">
        <v>28</v>
      </c>
      <c r="G308">
        <v>1</v>
      </c>
      <c r="H308" s="2" t="s">
        <v>24</v>
      </c>
      <c r="I308" s="2" t="s">
        <v>87</v>
      </c>
      <c r="L308" s="2">
        <f>N(correct_ratio_df__2[[#This Row],[correct_ratio]]&gt;0)</f>
        <v>1</v>
      </c>
      <c r="M308" s="2">
        <f>N(correct_ratio_df__2[[#This Row],[correct_ratio]]=1)</f>
        <v>1</v>
      </c>
      <c r="N308" s="2">
        <f>correct_ratio_df__2[[#This Row],[calc available]]-correct_ratio_df__2[[#This Row],[clac stable]]</f>
        <v>0</v>
      </c>
    </row>
    <row r="309" spans="1:14" x14ac:dyDescent="0.2">
      <c r="A309">
        <v>307</v>
      </c>
      <c r="B309" s="2" t="s">
        <v>68</v>
      </c>
      <c r="C309" s="2" t="s">
        <v>14</v>
      </c>
      <c r="D309" s="2" t="s">
        <v>17</v>
      </c>
      <c r="E309" s="2" t="s">
        <v>15</v>
      </c>
      <c r="F309" s="2" t="s">
        <v>28</v>
      </c>
      <c r="G309">
        <v>1</v>
      </c>
      <c r="H309" s="2" t="s">
        <v>24</v>
      </c>
      <c r="I309" s="2" t="s">
        <v>87</v>
      </c>
      <c r="L309" s="2">
        <f>N(correct_ratio_df__2[[#This Row],[correct_ratio]]&gt;0)</f>
        <v>1</v>
      </c>
      <c r="M309" s="2">
        <f>N(correct_ratio_df__2[[#This Row],[correct_ratio]]=1)</f>
        <v>1</v>
      </c>
      <c r="N309" s="2">
        <f>correct_ratio_df__2[[#This Row],[calc available]]-correct_ratio_df__2[[#This Row],[clac stable]]</f>
        <v>0</v>
      </c>
    </row>
    <row r="310" spans="1:14" x14ac:dyDescent="0.2">
      <c r="A310">
        <v>308</v>
      </c>
      <c r="B310" s="2" t="s">
        <v>69</v>
      </c>
      <c r="C310" s="2" t="s">
        <v>22</v>
      </c>
      <c r="D310" s="2" t="s">
        <v>17</v>
      </c>
      <c r="E310" s="2" t="s">
        <v>11</v>
      </c>
      <c r="F310" s="2" t="s">
        <v>28</v>
      </c>
      <c r="G310">
        <v>1</v>
      </c>
      <c r="H310" s="2" t="s">
        <v>24</v>
      </c>
      <c r="I310" s="2" t="s">
        <v>87</v>
      </c>
      <c r="L310" s="2">
        <f>N(correct_ratio_df__2[[#This Row],[correct_ratio]]&gt;0)</f>
        <v>1</v>
      </c>
      <c r="M310" s="2">
        <f>N(correct_ratio_df__2[[#This Row],[correct_ratio]]=1)</f>
        <v>1</v>
      </c>
      <c r="N310" s="2">
        <f>correct_ratio_df__2[[#This Row],[calc available]]-correct_ratio_df__2[[#This Row],[clac stable]]</f>
        <v>0</v>
      </c>
    </row>
    <row r="311" spans="1:14" x14ac:dyDescent="0.2">
      <c r="A311">
        <v>309</v>
      </c>
      <c r="B311" s="2" t="s">
        <v>70</v>
      </c>
      <c r="C311" s="2" t="s">
        <v>9</v>
      </c>
      <c r="D311" s="2" t="s">
        <v>17</v>
      </c>
      <c r="E311" s="2" t="s">
        <v>15</v>
      </c>
      <c r="F311" s="2" t="s">
        <v>28</v>
      </c>
      <c r="G311">
        <v>0.66666666666666663</v>
      </c>
      <c r="H311" s="2" t="s">
        <v>24</v>
      </c>
      <c r="I311" s="2" t="s">
        <v>87</v>
      </c>
      <c r="L311" s="2">
        <f>N(correct_ratio_df__2[[#This Row],[correct_ratio]]&gt;0)</f>
        <v>1</v>
      </c>
      <c r="M311" s="2">
        <f>N(correct_ratio_df__2[[#This Row],[correct_ratio]]=1)</f>
        <v>0</v>
      </c>
      <c r="N311" s="2">
        <f>correct_ratio_df__2[[#This Row],[calc available]]-correct_ratio_df__2[[#This Row],[clac stable]]</f>
        <v>1</v>
      </c>
    </row>
    <row r="312" spans="1:14" x14ac:dyDescent="0.2">
      <c r="A312">
        <v>310</v>
      </c>
      <c r="B312" s="2" t="s">
        <v>71</v>
      </c>
      <c r="C312" s="2" t="s">
        <v>9</v>
      </c>
      <c r="D312" s="2" t="s">
        <v>17</v>
      </c>
      <c r="E312" s="2" t="s">
        <v>21</v>
      </c>
      <c r="F312" s="2" t="s">
        <v>28</v>
      </c>
      <c r="G312">
        <v>0</v>
      </c>
      <c r="H312" s="2" t="s">
        <v>24</v>
      </c>
      <c r="I312" s="2" t="s">
        <v>87</v>
      </c>
      <c r="L312" s="2">
        <f>N(correct_ratio_df__2[[#This Row],[correct_ratio]]&gt;0)</f>
        <v>0</v>
      </c>
      <c r="M312" s="2">
        <f>N(correct_ratio_df__2[[#This Row],[correct_ratio]]=1)</f>
        <v>0</v>
      </c>
      <c r="N312" s="2">
        <f>correct_ratio_df__2[[#This Row],[calc available]]-correct_ratio_df__2[[#This Row],[clac stable]]</f>
        <v>0</v>
      </c>
    </row>
    <row r="313" spans="1:14" x14ac:dyDescent="0.2">
      <c r="A313">
        <v>311</v>
      </c>
      <c r="B313" s="2" t="s">
        <v>72</v>
      </c>
      <c r="C313" s="2" t="s">
        <v>19</v>
      </c>
      <c r="D313" s="2" t="s">
        <v>17</v>
      </c>
      <c r="E313" s="2" t="s">
        <v>11</v>
      </c>
      <c r="F313" s="2" t="s">
        <v>28</v>
      </c>
      <c r="G313">
        <v>1</v>
      </c>
      <c r="H313" s="2" t="s">
        <v>24</v>
      </c>
      <c r="I313" s="2" t="s">
        <v>87</v>
      </c>
      <c r="L313" s="2">
        <f>N(correct_ratio_df__2[[#This Row],[correct_ratio]]&gt;0)</f>
        <v>1</v>
      </c>
      <c r="M313" s="2">
        <f>N(correct_ratio_df__2[[#This Row],[correct_ratio]]=1)</f>
        <v>1</v>
      </c>
      <c r="N313" s="2">
        <f>correct_ratio_df__2[[#This Row],[calc available]]-correct_ratio_df__2[[#This Row],[clac stable]]</f>
        <v>0</v>
      </c>
    </row>
    <row r="314" spans="1:14" x14ac:dyDescent="0.2">
      <c r="A314">
        <v>312</v>
      </c>
      <c r="B314" s="2" t="s">
        <v>73</v>
      </c>
      <c r="C314" s="2" t="s">
        <v>16</v>
      </c>
      <c r="D314" s="2" t="s">
        <v>17</v>
      </c>
      <c r="E314" s="2" t="s">
        <v>11</v>
      </c>
      <c r="F314" s="2" t="s">
        <v>28</v>
      </c>
      <c r="G314">
        <v>1</v>
      </c>
      <c r="H314" s="2" t="s">
        <v>24</v>
      </c>
      <c r="I314" s="2" t="s">
        <v>87</v>
      </c>
      <c r="L314" s="2">
        <f>N(correct_ratio_df__2[[#This Row],[correct_ratio]]&gt;0)</f>
        <v>1</v>
      </c>
      <c r="M314" s="2">
        <f>N(correct_ratio_df__2[[#This Row],[correct_ratio]]=1)</f>
        <v>1</v>
      </c>
      <c r="N314" s="2">
        <f>correct_ratio_df__2[[#This Row],[calc available]]-correct_ratio_df__2[[#This Row],[clac stable]]</f>
        <v>0</v>
      </c>
    </row>
    <row r="315" spans="1:14" x14ac:dyDescent="0.2">
      <c r="A315">
        <v>313</v>
      </c>
      <c r="B315" s="2" t="s">
        <v>74</v>
      </c>
      <c r="C315" s="2" t="s">
        <v>22</v>
      </c>
      <c r="D315" s="2" t="s">
        <v>17</v>
      </c>
      <c r="E315" s="2" t="s">
        <v>21</v>
      </c>
      <c r="F315" s="2" t="s">
        <v>28</v>
      </c>
      <c r="G315">
        <v>1</v>
      </c>
      <c r="H315" s="2" t="s">
        <v>24</v>
      </c>
      <c r="I315" s="2" t="s">
        <v>87</v>
      </c>
      <c r="L315" s="2">
        <f>N(correct_ratio_df__2[[#This Row],[correct_ratio]]&gt;0)</f>
        <v>1</v>
      </c>
      <c r="M315" s="2">
        <f>N(correct_ratio_df__2[[#This Row],[correct_ratio]]=1)</f>
        <v>1</v>
      </c>
      <c r="N315" s="2">
        <f>correct_ratio_df__2[[#This Row],[calc available]]-correct_ratio_df__2[[#This Row],[clac stable]]</f>
        <v>0</v>
      </c>
    </row>
    <row r="316" spans="1:14" x14ac:dyDescent="0.2">
      <c r="A316">
        <v>314</v>
      </c>
      <c r="B316" s="2" t="s">
        <v>75</v>
      </c>
      <c r="C316" s="2" t="s">
        <v>14</v>
      </c>
      <c r="D316" s="2" t="s">
        <v>17</v>
      </c>
      <c r="E316" s="2" t="s">
        <v>21</v>
      </c>
      <c r="F316" s="2" t="s">
        <v>28</v>
      </c>
      <c r="G316">
        <v>1</v>
      </c>
      <c r="H316" s="2" t="s">
        <v>24</v>
      </c>
      <c r="I316" s="2" t="s">
        <v>87</v>
      </c>
      <c r="L316" s="2">
        <f>N(correct_ratio_df__2[[#This Row],[correct_ratio]]&gt;0)</f>
        <v>1</v>
      </c>
      <c r="M316" s="2">
        <f>N(correct_ratio_df__2[[#This Row],[correct_ratio]]=1)</f>
        <v>1</v>
      </c>
      <c r="N316" s="2">
        <f>correct_ratio_df__2[[#This Row],[calc available]]-correct_ratio_df__2[[#This Row],[clac stable]]</f>
        <v>0</v>
      </c>
    </row>
    <row r="317" spans="1:14" x14ac:dyDescent="0.2">
      <c r="A317">
        <v>315</v>
      </c>
      <c r="B317" s="2" t="s">
        <v>76</v>
      </c>
      <c r="C317" s="2" t="s">
        <v>14</v>
      </c>
      <c r="D317" s="2" t="s">
        <v>10</v>
      </c>
      <c r="E317" s="2" t="s">
        <v>21</v>
      </c>
      <c r="F317" s="2" t="s">
        <v>28</v>
      </c>
      <c r="G317">
        <v>1</v>
      </c>
      <c r="H317" s="2" t="s">
        <v>24</v>
      </c>
      <c r="I317" s="2" t="s">
        <v>87</v>
      </c>
      <c r="L317" s="2">
        <f>N(correct_ratio_df__2[[#This Row],[correct_ratio]]&gt;0)</f>
        <v>1</v>
      </c>
      <c r="M317" s="2">
        <f>N(correct_ratio_df__2[[#This Row],[correct_ratio]]=1)</f>
        <v>1</v>
      </c>
      <c r="N317" s="2">
        <f>correct_ratio_df__2[[#This Row],[calc available]]-correct_ratio_df__2[[#This Row],[clac stable]]</f>
        <v>0</v>
      </c>
    </row>
    <row r="318" spans="1:14" x14ac:dyDescent="0.2">
      <c r="A318">
        <v>316</v>
      </c>
      <c r="B318" s="2" t="s">
        <v>77</v>
      </c>
      <c r="C318" s="2" t="s">
        <v>9</v>
      </c>
      <c r="D318" s="2" t="s">
        <v>17</v>
      </c>
      <c r="E318" s="2" t="s">
        <v>15</v>
      </c>
      <c r="F318" s="2" t="s">
        <v>28</v>
      </c>
      <c r="G318">
        <v>0</v>
      </c>
      <c r="H318" s="2" t="s">
        <v>24</v>
      </c>
      <c r="I318" s="2" t="s">
        <v>87</v>
      </c>
      <c r="L318" s="2">
        <f>N(correct_ratio_df__2[[#This Row],[correct_ratio]]&gt;0)</f>
        <v>0</v>
      </c>
      <c r="M318" s="2">
        <f>N(correct_ratio_df__2[[#This Row],[correct_ratio]]=1)</f>
        <v>0</v>
      </c>
      <c r="N318" s="2">
        <f>correct_ratio_df__2[[#This Row],[calc available]]-correct_ratio_df__2[[#This Row],[clac stable]]</f>
        <v>0</v>
      </c>
    </row>
    <row r="319" spans="1:14" x14ac:dyDescent="0.2">
      <c r="A319">
        <v>317</v>
      </c>
      <c r="B319" s="2" t="s">
        <v>78</v>
      </c>
      <c r="C319" s="2" t="s">
        <v>9</v>
      </c>
      <c r="D319" s="2" t="s">
        <v>17</v>
      </c>
      <c r="E319" s="2" t="s">
        <v>21</v>
      </c>
      <c r="F319" s="2" t="s">
        <v>28</v>
      </c>
      <c r="G319">
        <v>1</v>
      </c>
      <c r="H319" s="2" t="s">
        <v>24</v>
      </c>
      <c r="I319" s="2" t="s">
        <v>87</v>
      </c>
      <c r="L319" s="2">
        <f>N(correct_ratio_df__2[[#This Row],[correct_ratio]]&gt;0)</f>
        <v>1</v>
      </c>
      <c r="M319" s="2">
        <f>N(correct_ratio_df__2[[#This Row],[correct_ratio]]=1)</f>
        <v>1</v>
      </c>
      <c r="N319" s="2">
        <f>correct_ratio_df__2[[#This Row],[calc available]]-correct_ratio_df__2[[#This Row],[clac stable]]</f>
        <v>0</v>
      </c>
    </row>
    <row r="320" spans="1:14" x14ac:dyDescent="0.2">
      <c r="A320">
        <v>318</v>
      </c>
      <c r="B320" s="2" t="s">
        <v>79</v>
      </c>
      <c r="C320" s="2" t="s">
        <v>14</v>
      </c>
      <c r="D320" s="2" t="s">
        <v>17</v>
      </c>
      <c r="E320" s="2" t="s">
        <v>11</v>
      </c>
      <c r="F320" s="2" t="s">
        <v>28</v>
      </c>
      <c r="G320">
        <v>1</v>
      </c>
      <c r="H320" s="2" t="s">
        <v>24</v>
      </c>
      <c r="I320" s="2" t="s">
        <v>87</v>
      </c>
      <c r="L320" s="2">
        <f>N(correct_ratio_df__2[[#This Row],[correct_ratio]]&gt;0)</f>
        <v>1</v>
      </c>
      <c r="M320" s="2">
        <f>N(correct_ratio_df__2[[#This Row],[correct_ratio]]=1)</f>
        <v>1</v>
      </c>
      <c r="N320" s="2">
        <f>correct_ratio_df__2[[#This Row],[calc available]]-correct_ratio_df__2[[#This Row],[clac stable]]</f>
        <v>0</v>
      </c>
    </row>
    <row r="321" spans="1:14" x14ac:dyDescent="0.2">
      <c r="A321">
        <v>319</v>
      </c>
      <c r="B321" s="2" t="s">
        <v>80</v>
      </c>
      <c r="C321" s="2" t="s">
        <v>22</v>
      </c>
      <c r="D321" s="2" t="s">
        <v>20</v>
      </c>
      <c r="E321" s="2" t="s">
        <v>11</v>
      </c>
      <c r="F321" s="2" t="s">
        <v>28</v>
      </c>
      <c r="G321">
        <v>0</v>
      </c>
      <c r="H321" s="2" t="s">
        <v>24</v>
      </c>
      <c r="I321" s="2" t="s">
        <v>87</v>
      </c>
      <c r="L321" s="2">
        <f>N(correct_ratio_df__2[[#This Row],[correct_ratio]]&gt;0)</f>
        <v>0</v>
      </c>
      <c r="M321" s="2">
        <f>N(correct_ratio_df__2[[#This Row],[correct_ratio]]=1)</f>
        <v>0</v>
      </c>
      <c r="N321" s="2">
        <f>correct_ratio_df__2[[#This Row],[calc available]]-correct_ratio_df__2[[#This Row],[clac stable]]</f>
        <v>0</v>
      </c>
    </row>
    <row r="322" spans="1:14" x14ac:dyDescent="0.2">
      <c r="A322">
        <v>320</v>
      </c>
      <c r="B322" s="2" t="s">
        <v>41</v>
      </c>
      <c r="C322" s="2" t="s">
        <v>9</v>
      </c>
      <c r="D322" s="2" t="s">
        <v>10</v>
      </c>
      <c r="E322" s="2" t="s">
        <v>11</v>
      </c>
      <c r="F322" s="2" t="s">
        <v>29</v>
      </c>
      <c r="G322">
        <v>1</v>
      </c>
      <c r="H322" s="2" t="s">
        <v>30</v>
      </c>
      <c r="I322" s="2" t="s">
        <v>86</v>
      </c>
      <c r="L322" s="2">
        <f>N(correct_ratio_df__2[[#This Row],[correct_ratio]]&gt;0)</f>
        <v>1</v>
      </c>
      <c r="M322" s="2">
        <f>N(correct_ratio_df__2[[#This Row],[correct_ratio]]=1)</f>
        <v>1</v>
      </c>
      <c r="N322" s="2">
        <f>correct_ratio_df__2[[#This Row],[calc available]]-correct_ratio_df__2[[#This Row],[clac stable]]</f>
        <v>0</v>
      </c>
    </row>
    <row r="323" spans="1:14" x14ac:dyDescent="0.2">
      <c r="A323">
        <v>321</v>
      </c>
      <c r="B323" s="2" t="s">
        <v>42</v>
      </c>
      <c r="C323" s="2" t="s">
        <v>14</v>
      </c>
      <c r="D323" s="2" t="s">
        <v>10</v>
      </c>
      <c r="E323" s="2" t="s">
        <v>15</v>
      </c>
      <c r="F323" s="2" t="s">
        <v>29</v>
      </c>
      <c r="G323">
        <v>1</v>
      </c>
      <c r="H323" s="2" t="s">
        <v>30</v>
      </c>
      <c r="I323" s="2" t="s">
        <v>86</v>
      </c>
      <c r="L323" s="2">
        <f>N(correct_ratio_df__2[[#This Row],[correct_ratio]]&gt;0)</f>
        <v>1</v>
      </c>
      <c r="M323" s="2">
        <f>N(correct_ratio_df__2[[#This Row],[correct_ratio]]=1)</f>
        <v>1</v>
      </c>
      <c r="N323" s="2">
        <f>correct_ratio_df__2[[#This Row],[calc available]]-correct_ratio_df__2[[#This Row],[clac stable]]</f>
        <v>0</v>
      </c>
    </row>
    <row r="324" spans="1:14" x14ac:dyDescent="0.2">
      <c r="A324">
        <v>322</v>
      </c>
      <c r="B324" s="2" t="s">
        <v>43</v>
      </c>
      <c r="C324" s="2" t="s">
        <v>16</v>
      </c>
      <c r="D324" s="2" t="s">
        <v>17</v>
      </c>
      <c r="E324" s="2" t="s">
        <v>11</v>
      </c>
      <c r="F324" s="2" t="s">
        <v>29</v>
      </c>
      <c r="G324">
        <v>1</v>
      </c>
      <c r="H324" s="2" t="s">
        <v>30</v>
      </c>
      <c r="I324" s="2" t="s">
        <v>86</v>
      </c>
      <c r="L324" s="2">
        <f>N(correct_ratio_df__2[[#This Row],[correct_ratio]]&gt;0)</f>
        <v>1</v>
      </c>
      <c r="M324" s="2">
        <f>N(correct_ratio_df__2[[#This Row],[correct_ratio]]=1)</f>
        <v>1</v>
      </c>
      <c r="N324" s="2">
        <f>correct_ratio_df__2[[#This Row],[calc available]]-correct_ratio_df__2[[#This Row],[clac stable]]</f>
        <v>0</v>
      </c>
    </row>
    <row r="325" spans="1:14" x14ac:dyDescent="0.2">
      <c r="A325">
        <v>323</v>
      </c>
      <c r="B325" s="2" t="s">
        <v>44</v>
      </c>
      <c r="C325" s="2" t="s">
        <v>16</v>
      </c>
      <c r="D325" s="2" t="s">
        <v>10</v>
      </c>
      <c r="E325" s="2" t="s">
        <v>15</v>
      </c>
      <c r="F325" s="2" t="s">
        <v>29</v>
      </c>
      <c r="G325">
        <v>1</v>
      </c>
      <c r="H325" s="2" t="s">
        <v>30</v>
      </c>
      <c r="I325" s="2" t="s">
        <v>86</v>
      </c>
      <c r="L325" s="2">
        <f>N(correct_ratio_df__2[[#This Row],[correct_ratio]]&gt;0)</f>
        <v>1</v>
      </c>
      <c r="M325" s="2">
        <f>N(correct_ratio_df__2[[#This Row],[correct_ratio]]=1)</f>
        <v>1</v>
      </c>
      <c r="N325" s="2">
        <f>correct_ratio_df__2[[#This Row],[calc available]]-correct_ratio_df__2[[#This Row],[clac stable]]</f>
        <v>0</v>
      </c>
    </row>
    <row r="326" spans="1:14" x14ac:dyDescent="0.2">
      <c r="A326">
        <v>324</v>
      </c>
      <c r="B326" s="2" t="s">
        <v>45</v>
      </c>
      <c r="C326" s="2" t="s">
        <v>14</v>
      </c>
      <c r="D326" s="2" t="s">
        <v>18</v>
      </c>
      <c r="E326" s="2" t="s">
        <v>15</v>
      </c>
      <c r="F326" s="2" t="s">
        <v>29</v>
      </c>
      <c r="G326">
        <v>0.66666666666666663</v>
      </c>
      <c r="H326" s="2" t="s">
        <v>30</v>
      </c>
      <c r="I326" s="2" t="s">
        <v>86</v>
      </c>
      <c r="L326" s="2">
        <f>N(correct_ratio_df__2[[#This Row],[correct_ratio]]&gt;0)</f>
        <v>1</v>
      </c>
      <c r="M326" s="2">
        <f>N(correct_ratio_df__2[[#This Row],[correct_ratio]]=1)</f>
        <v>0</v>
      </c>
      <c r="N326" s="2">
        <f>correct_ratio_df__2[[#This Row],[calc available]]-correct_ratio_df__2[[#This Row],[clac stable]]</f>
        <v>1</v>
      </c>
    </row>
    <row r="327" spans="1:14" x14ac:dyDescent="0.2">
      <c r="A327">
        <v>325</v>
      </c>
      <c r="B327" s="2" t="s">
        <v>46</v>
      </c>
      <c r="C327" s="2" t="s">
        <v>14</v>
      </c>
      <c r="D327" s="2" t="s">
        <v>10</v>
      </c>
      <c r="E327" s="2" t="s">
        <v>15</v>
      </c>
      <c r="F327" s="2" t="s">
        <v>29</v>
      </c>
      <c r="G327">
        <v>1</v>
      </c>
      <c r="H327" s="2" t="s">
        <v>30</v>
      </c>
      <c r="I327" s="2" t="s">
        <v>86</v>
      </c>
      <c r="L327" s="2">
        <f>N(correct_ratio_df__2[[#This Row],[correct_ratio]]&gt;0)</f>
        <v>1</v>
      </c>
      <c r="M327" s="2">
        <f>N(correct_ratio_df__2[[#This Row],[correct_ratio]]=1)</f>
        <v>1</v>
      </c>
      <c r="N327" s="2">
        <f>correct_ratio_df__2[[#This Row],[calc available]]-correct_ratio_df__2[[#This Row],[clac stable]]</f>
        <v>0</v>
      </c>
    </row>
    <row r="328" spans="1:14" x14ac:dyDescent="0.2">
      <c r="A328">
        <v>326</v>
      </c>
      <c r="B328" s="2" t="s">
        <v>47</v>
      </c>
      <c r="C328" s="2" t="s">
        <v>19</v>
      </c>
      <c r="D328" s="2" t="s">
        <v>10</v>
      </c>
      <c r="E328" s="2" t="s">
        <v>15</v>
      </c>
      <c r="F328" s="2" t="s">
        <v>29</v>
      </c>
      <c r="G328">
        <v>1</v>
      </c>
      <c r="H328" s="2" t="s">
        <v>30</v>
      </c>
      <c r="I328" s="2" t="s">
        <v>86</v>
      </c>
      <c r="L328" s="2">
        <f>N(correct_ratio_df__2[[#This Row],[correct_ratio]]&gt;0)</f>
        <v>1</v>
      </c>
      <c r="M328" s="2">
        <f>N(correct_ratio_df__2[[#This Row],[correct_ratio]]=1)</f>
        <v>1</v>
      </c>
      <c r="N328" s="2">
        <f>correct_ratio_df__2[[#This Row],[calc available]]-correct_ratio_df__2[[#This Row],[clac stable]]</f>
        <v>0</v>
      </c>
    </row>
    <row r="329" spans="1:14" x14ac:dyDescent="0.2">
      <c r="A329">
        <v>327</v>
      </c>
      <c r="B329" s="2" t="s">
        <v>48</v>
      </c>
      <c r="C329" s="2" t="s">
        <v>16</v>
      </c>
      <c r="D329" s="2" t="s">
        <v>20</v>
      </c>
      <c r="E329" s="2" t="s">
        <v>21</v>
      </c>
      <c r="F329" s="2" t="s">
        <v>29</v>
      </c>
      <c r="G329">
        <v>1</v>
      </c>
      <c r="H329" s="2" t="s">
        <v>30</v>
      </c>
      <c r="I329" s="2" t="s">
        <v>86</v>
      </c>
      <c r="L329" s="2">
        <f>N(correct_ratio_df__2[[#This Row],[correct_ratio]]&gt;0)</f>
        <v>1</v>
      </c>
      <c r="M329" s="2">
        <f>N(correct_ratio_df__2[[#This Row],[correct_ratio]]=1)</f>
        <v>1</v>
      </c>
      <c r="N329" s="2">
        <f>correct_ratio_df__2[[#This Row],[calc available]]-correct_ratio_df__2[[#This Row],[clac stable]]</f>
        <v>0</v>
      </c>
    </row>
    <row r="330" spans="1:14" x14ac:dyDescent="0.2">
      <c r="A330">
        <v>328</v>
      </c>
      <c r="B330" s="2" t="s">
        <v>49</v>
      </c>
      <c r="C330" s="2" t="s">
        <v>16</v>
      </c>
      <c r="D330" s="2" t="s">
        <v>10</v>
      </c>
      <c r="E330" s="2" t="s">
        <v>21</v>
      </c>
      <c r="F330" s="2" t="s">
        <v>29</v>
      </c>
      <c r="G330">
        <v>1</v>
      </c>
      <c r="H330" s="2" t="s">
        <v>30</v>
      </c>
      <c r="I330" s="2" t="s">
        <v>86</v>
      </c>
      <c r="L330" s="2">
        <f>N(correct_ratio_df__2[[#This Row],[correct_ratio]]&gt;0)</f>
        <v>1</v>
      </c>
      <c r="M330" s="2">
        <f>N(correct_ratio_df__2[[#This Row],[correct_ratio]]=1)</f>
        <v>1</v>
      </c>
      <c r="N330" s="2">
        <f>correct_ratio_df__2[[#This Row],[calc available]]-correct_ratio_df__2[[#This Row],[clac stable]]</f>
        <v>0</v>
      </c>
    </row>
    <row r="331" spans="1:14" x14ac:dyDescent="0.2">
      <c r="A331">
        <v>329</v>
      </c>
      <c r="B331" s="2" t="s">
        <v>50</v>
      </c>
      <c r="C331" s="2" t="s">
        <v>9</v>
      </c>
      <c r="D331" s="2" t="s">
        <v>17</v>
      </c>
      <c r="E331" s="2" t="s">
        <v>21</v>
      </c>
      <c r="F331" s="2" t="s">
        <v>29</v>
      </c>
      <c r="G331">
        <v>0</v>
      </c>
      <c r="H331" s="2" t="s">
        <v>30</v>
      </c>
      <c r="I331" s="2" t="s">
        <v>86</v>
      </c>
      <c r="L331" s="2">
        <f>N(correct_ratio_df__2[[#This Row],[correct_ratio]]&gt;0)</f>
        <v>0</v>
      </c>
      <c r="M331" s="2">
        <f>N(correct_ratio_df__2[[#This Row],[correct_ratio]]=1)</f>
        <v>0</v>
      </c>
      <c r="N331" s="2">
        <f>correct_ratio_df__2[[#This Row],[calc available]]-correct_ratio_df__2[[#This Row],[clac stable]]</f>
        <v>0</v>
      </c>
    </row>
    <row r="332" spans="1:14" x14ac:dyDescent="0.2">
      <c r="A332">
        <v>330</v>
      </c>
      <c r="B332" s="2" t="s">
        <v>51</v>
      </c>
      <c r="C332" s="2" t="s">
        <v>16</v>
      </c>
      <c r="D332" s="2" t="s">
        <v>17</v>
      </c>
      <c r="E332" s="2" t="s">
        <v>11</v>
      </c>
      <c r="F332" s="2" t="s">
        <v>29</v>
      </c>
      <c r="G332">
        <v>1</v>
      </c>
      <c r="H332" s="2" t="s">
        <v>30</v>
      </c>
      <c r="I332" s="2" t="s">
        <v>86</v>
      </c>
      <c r="L332" s="2">
        <f>N(correct_ratio_df__2[[#This Row],[correct_ratio]]&gt;0)</f>
        <v>1</v>
      </c>
      <c r="M332" s="2">
        <f>N(correct_ratio_df__2[[#This Row],[correct_ratio]]=1)</f>
        <v>1</v>
      </c>
      <c r="N332" s="2">
        <f>correct_ratio_df__2[[#This Row],[calc available]]-correct_ratio_df__2[[#This Row],[clac stable]]</f>
        <v>0</v>
      </c>
    </row>
    <row r="333" spans="1:14" x14ac:dyDescent="0.2">
      <c r="A333">
        <v>331</v>
      </c>
      <c r="B333" s="2" t="s">
        <v>52</v>
      </c>
      <c r="C333" s="2" t="s">
        <v>9</v>
      </c>
      <c r="D333" s="2" t="s">
        <v>17</v>
      </c>
      <c r="E333" s="2" t="s">
        <v>15</v>
      </c>
      <c r="F333" s="2" t="s">
        <v>29</v>
      </c>
      <c r="G333">
        <v>1</v>
      </c>
      <c r="H333" s="2" t="s">
        <v>30</v>
      </c>
      <c r="I333" s="2" t="s">
        <v>86</v>
      </c>
      <c r="L333" s="2">
        <f>N(correct_ratio_df__2[[#This Row],[correct_ratio]]&gt;0)</f>
        <v>1</v>
      </c>
      <c r="M333" s="2">
        <f>N(correct_ratio_df__2[[#This Row],[correct_ratio]]=1)</f>
        <v>1</v>
      </c>
      <c r="N333" s="2">
        <f>correct_ratio_df__2[[#This Row],[calc available]]-correct_ratio_df__2[[#This Row],[clac stable]]</f>
        <v>0</v>
      </c>
    </row>
    <row r="334" spans="1:14" x14ac:dyDescent="0.2">
      <c r="A334">
        <v>332</v>
      </c>
      <c r="B334" s="2" t="s">
        <v>53</v>
      </c>
      <c r="C334" s="2" t="s">
        <v>19</v>
      </c>
      <c r="D334" s="2" t="s">
        <v>17</v>
      </c>
      <c r="E334" s="2" t="s">
        <v>21</v>
      </c>
      <c r="F334" s="2" t="s">
        <v>29</v>
      </c>
      <c r="G334">
        <v>1</v>
      </c>
      <c r="H334" s="2" t="s">
        <v>30</v>
      </c>
      <c r="I334" s="2" t="s">
        <v>86</v>
      </c>
      <c r="L334" s="2">
        <f>N(correct_ratio_df__2[[#This Row],[correct_ratio]]&gt;0)</f>
        <v>1</v>
      </c>
      <c r="M334" s="2">
        <f>N(correct_ratio_df__2[[#This Row],[correct_ratio]]=1)</f>
        <v>1</v>
      </c>
      <c r="N334" s="2">
        <f>correct_ratio_df__2[[#This Row],[calc available]]-correct_ratio_df__2[[#This Row],[clac stable]]</f>
        <v>0</v>
      </c>
    </row>
    <row r="335" spans="1:14" x14ac:dyDescent="0.2">
      <c r="A335">
        <v>333</v>
      </c>
      <c r="B335" s="2" t="s">
        <v>54</v>
      </c>
      <c r="C335" s="2" t="s">
        <v>14</v>
      </c>
      <c r="D335" s="2" t="s">
        <v>17</v>
      </c>
      <c r="E335" s="2" t="s">
        <v>15</v>
      </c>
      <c r="F335" s="2" t="s">
        <v>29</v>
      </c>
      <c r="G335">
        <v>1</v>
      </c>
      <c r="H335" s="2" t="s">
        <v>30</v>
      </c>
      <c r="I335" s="2" t="s">
        <v>86</v>
      </c>
      <c r="L335" s="2">
        <f>N(correct_ratio_df__2[[#This Row],[correct_ratio]]&gt;0)</f>
        <v>1</v>
      </c>
      <c r="M335" s="2">
        <f>N(correct_ratio_df__2[[#This Row],[correct_ratio]]=1)</f>
        <v>1</v>
      </c>
      <c r="N335" s="2">
        <f>correct_ratio_df__2[[#This Row],[calc available]]-correct_ratio_df__2[[#This Row],[clac stable]]</f>
        <v>0</v>
      </c>
    </row>
    <row r="336" spans="1:14" x14ac:dyDescent="0.2">
      <c r="A336">
        <v>334</v>
      </c>
      <c r="B336" s="2" t="s">
        <v>55</v>
      </c>
      <c r="C336" s="2" t="s">
        <v>9</v>
      </c>
      <c r="D336" s="2" t="s">
        <v>18</v>
      </c>
      <c r="E336" s="2" t="s">
        <v>21</v>
      </c>
      <c r="F336" s="2" t="s">
        <v>29</v>
      </c>
      <c r="G336">
        <v>1</v>
      </c>
      <c r="H336" s="2" t="s">
        <v>30</v>
      </c>
      <c r="I336" s="2" t="s">
        <v>86</v>
      </c>
      <c r="L336" s="2">
        <f>N(correct_ratio_df__2[[#This Row],[correct_ratio]]&gt;0)</f>
        <v>1</v>
      </c>
      <c r="M336" s="2">
        <f>N(correct_ratio_df__2[[#This Row],[correct_ratio]]=1)</f>
        <v>1</v>
      </c>
      <c r="N336" s="2">
        <f>correct_ratio_df__2[[#This Row],[calc available]]-correct_ratio_df__2[[#This Row],[clac stable]]</f>
        <v>0</v>
      </c>
    </row>
    <row r="337" spans="1:14" x14ac:dyDescent="0.2">
      <c r="A337">
        <v>335</v>
      </c>
      <c r="B337" s="2" t="s">
        <v>56</v>
      </c>
      <c r="C337" s="2" t="s">
        <v>19</v>
      </c>
      <c r="D337" s="2" t="s">
        <v>17</v>
      </c>
      <c r="E337" s="2" t="s">
        <v>21</v>
      </c>
      <c r="F337" s="2" t="s">
        <v>29</v>
      </c>
      <c r="G337">
        <v>1</v>
      </c>
      <c r="H337" s="2" t="s">
        <v>30</v>
      </c>
      <c r="I337" s="2" t="s">
        <v>86</v>
      </c>
      <c r="L337" s="2">
        <f>N(correct_ratio_df__2[[#This Row],[correct_ratio]]&gt;0)</f>
        <v>1</v>
      </c>
      <c r="M337" s="2">
        <f>N(correct_ratio_df__2[[#This Row],[correct_ratio]]=1)</f>
        <v>1</v>
      </c>
      <c r="N337" s="2">
        <f>correct_ratio_df__2[[#This Row],[calc available]]-correct_ratio_df__2[[#This Row],[clac stable]]</f>
        <v>0</v>
      </c>
    </row>
    <row r="338" spans="1:14" x14ac:dyDescent="0.2">
      <c r="A338">
        <v>336</v>
      </c>
      <c r="B338" s="2" t="s">
        <v>57</v>
      </c>
      <c r="C338" s="2" t="s">
        <v>9</v>
      </c>
      <c r="D338" s="2" t="s">
        <v>17</v>
      </c>
      <c r="E338" s="2" t="s">
        <v>21</v>
      </c>
      <c r="F338" s="2" t="s">
        <v>29</v>
      </c>
      <c r="G338">
        <v>0.66666666666666663</v>
      </c>
      <c r="H338" s="2" t="s">
        <v>30</v>
      </c>
      <c r="I338" s="2" t="s">
        <v>86</v>
      </c>
      <c r="L338" s="2">
        <f>N(correct_ratio_df__2[[#This Row],[correct_ratio]]&gt;0)</f>
        <v>1</v>
      </c>
      <c r="M338" s="2">
        <f>N(correct_ratio_df__2[[#This Row],[correct_ratio]]=1)</f>
        <v>0</v>
      </c>
      <c r="N338" s="2">
        <f>correct_ratio_df__2[[#This Row],[calc available]]-correct_ratio_df__2[[#This Row],[clac stable]]</f>
        <v>1</v>
      </c>
    </row>
    <row r="339" spans="1:14" x14ac:dyDescent="0.2">
      <c r="A339">
        <v>337</v>
      </c>
      <c r="B339" s="2" t="s">
        <v>58</v>
      </c>
      <c r="C339" s="2" t="s">
        <v>9</v>
      </c>
      <c r="D339" s="2" t="s">
        <v>17</v>
      </c>
      <c r="E339" s="2" t="s">
        <v>21</v>
      </c>
      <c r="F339" s="2" t="s">
        <v>29</v>
      </c>
      <c r="G339">
        <v>0</v>
      </c>
      <c r="H339" s="2" t="s">
        <v>30</v>
      </c>
      <c r="I339" s="2" t="s">
        <v>86</v>
      </c>
      <c r="L339" s="2">
        <f>N(correct_ratio_df__2[[#This Row],[correct_ratio]]&gt;0)</f>
        <v>0</v>
      </c>
      <c r="M339" s="2">
        <f>N(correct_ratio_df__2[[#This Row],[correct_ratio]]=1)</f>
        <v>0</v>
      </c>
      <c r="N339" s="2">
        <f>correct_ratio_df__2[[#This Row],[calc available]]-correct_ratio_df__2[[#This Row],[clac stable]]</f>
        <v>0</v>
      </c>
    </row>
    <row r="340" spans="1:14" x14ac:dyDescent="0.2">
      <c r="A340">
        <v>338</v>
      </c>
      <c r="B340" s="2" t="s">
        <v>59</v>
      </c>
      <c r="C340" s="2" t="s">
        <v>19</v>
      </c>
      <c r="D340" s="2" t="s">
        <v>17</v>
      </c>
      <c r="E340" s="2" t="s">
        <v>15</v>
      </c>
      <c r="F340" s="2" t="s">
        <v>29</v>
      </c>
      <c r="G340">
        <v>1</v>
      </c>
      <c r="H340" s="2" t="s">
        <v>30</v>
      </c>
      <c r="I340" s="2" t="s">
        <v>86</v>
      </c>
      <c r="L340" s="2">
        <f>N(correct_ratio_df__2[[#This Row],[correct_ratio]]&gt;0)</f>
        <v>1</v>
      </c>
      <c r="M340" s="2">
        <f>N(correct_ratio_df__2[[#This Row],[correct_ratio]]=1)</f>
        <v>1</v>
      </c>
      <c r="N340" s="2">
        <f>correct_ratio_df__2[[#This Row],[calc available]]-correct_ratio_df__2[[#This Row],[clac stable]]</f>
        <v>0</v>
      </c>
    </row>
    <row r="341" spans="1:14" x14ac:dyDescent="0.2">
      <c r="A341">
        <v>339</v>
      </c>
      <c r="B341" s="2" t="s">
        <v>60</v>
      </c>
      <c r="C341" s="2" t="s">
        <v>9</v>
      </c>
      <c r="D341" s="2" t="s">
        <v>17</v>
      </c>
      <c r="E341" s="2" t="s">
        <v>21</v>
      </c>
      <c r="F341" s="2" t="s">
        <v>29</v>
      </c>
      <c r="G341">
        <v>0</v>
      </c>
      <c r="H341" s="2" t="s">
        <v>30</v>
      </c>
      <c r="I341" s="2" t="s">
        <v>86</v>
      </c>
      <c r="L341" s="2">
        <f>N(correct_ratio_df__2[[#This Row],[correct_ratio]]&gt;0)</f>
        <v>0</v>
      </c>
      <c r="M341" s="2">
        <f>N(correct_ratio_df__2[[#This Row],[correct_ratio]]=1)</f>
        <v>0</v>
      </c>
      <c r="N341" s="2">
        <f>correct_ratio_df__2[[#This Row],[calc available]]-correct_ratio_df__2[[#This Row],[clac stable]]</f>
        <v>0</v>
      </c>
    </row>
    <row r="342" spans="1:14" x14ac:dyDescent="0.2">
      <c r="A342">
        <v>340</v>
      </c>
      <c r="B342" s="2" t="s">
        <v>61</v>
      </c>
      <c r="C342" s="2" t="s">
        <v>14</v>
      </c>
      <c r="D342" s="2" t="s">
        <v>10</v>
      </c>
      <c r="E342" s="2" t="s">
        <v>11</v>
      </c>
      <c r="F342" s="2" t="s">
        <v>29</v>
      </c>
      <c r="G342">
        <v>1</v>
      </c>
      <c r="H342" s="2" t="s">
        <v>30</v>
      </c>
      <c r="I342" s="2" t="s">
        <v>86</v>
      </c>
      <c r="L342" s="2">
        <f>N(correct_ratio_df__2[[#This Row],[correct_ratio]]&gt;0)</f>
        <v>1</v>
      </c>
      <c r="M342" s="2">
        <f>N(correct_ratio_df__2[[#This Row],[correct_ratio]]=1)</f>
        <v>1</v>
      </c>
      <c r="N342" s="2">
        <f>correct_ratio_df__2[[#This Row],[calc available]]-correct_ratio_df__2[[#This Row],[clac stable]]</f>
        <v>0</v>
      </c>
    </row>
    <row r="343" spans="1:14" x14ac:dyDescent="0.2">
      <c r="A343">
        <v>341</v>
      </c>
      <c r="B343" s="2" t="s">
        <v>62</v>
      </c>
      <c r="C343" s="2" t="s">
        <v>16</v>
      </c>
      <c r="D343" s="2" t="s">
        <v>18</v>
      </c>
      <c r="E343" s="2" t="s">
        <v>11</v>
      </c>
      <c r="F343" s="2" t="s">
        <v>29</v>
      </c>
      <c r="G343">
        <v>1</v>
      </c>
      <c r="H343" s="2" t="s">
        <v>30</v>
      </c>
      <c r="I343" s="2" t="s">
        <v>86</v>
      </c>
      <c r="L343" s="2">
        <f>N(correct_ratio_df__2[[#This Row],[correct_ratio]]&gt;0)</f>
        <v>1</v>
      </c>
      <c r="M343" s="2">
        <f>N(correct_ratio_df__2[[#This Row],[correct_ratio]]=1)</f>
        <v>1</v>
      </c>
      <c r="N343" s="2">
        <f>correct_ratio_df__2[[#This Row],[calc available]]-correct_ratio_df__2[[#This Row],[clac stable]]</f>
        <v>0</v>
      </c>
    </row>
    <row r="344" spans="1:14" x14ac:dyDescent="0.2">
      <c r="A344">
        <v>342</v>
      </c>
      <c r="B344" s="2" t="s">
        <v>63</v>
      </c>
      <c r="C344" s="2" t="s">
        <v>9</v>
      </c>
      <c r="D344" s="2" t="s">
        <v>20</v>
      </c>
      <c r="E344" s="2" t="s">
        <v>15</v>
      </c>
      <c r="F344" s="2" t="s">
        <v>29</v>
      </c>
      <c r="G344">
        <v>1</v>
      </c>
      <c r="H344" s="2" t="s">
        <v>30</v>
      </c>
      <c r="I344" s="2" t="s">
        <v>86</v>
      </c>
      <c r="L344" s="2">
        <f>N(correct_ratio_df__2[[#This Row],[correct_ratio]]&gt;0)</f>
        <v>1</v>
      </c>
      <c r="M344" s="2">
        <f>N(correct_ratio_df__2[[#This Row],[correct_ratio]]=1)</f>
        <v>1</v>
      </c>
      <c r="N344" s="2">
        <f>correct_ratio_df__2[[#This Row],[calc available]]-correct_ratio_df__2[[#This Row],[clac stable]]</f>
        <v>0</v>
      </c>
    </row>
    <row r="345" spans="1:14" x14ac:dyDescent="0.2">
      <c r="A345">
        <v>343</v>
      </c>
      <c r="B345" s="2" t="s">
        <v>64</v>
      </c>
      <c r="C345" s="2" t="s">
        <v>14</v>
      </c>
      <c r="D345" s="2" t="s">
        <v>17</v>
      </c>
      <c r="E345" s="2" t="s">
        <v>11</v>
      </c>
      <c r="F345" s="2" t="s">
        <v>29</v>
      </c>
      <c r="G345">
        <v>1</v>
      </c>
      <c r="H345" s="2" t="s">
        <v>30</v>
      </c>
      <c r="I345" s="2" t="s">
        <v>86</v>
      </c>
      <c r="L345" s="2">
        <f>N(correct_ratio_df__2[[#This Row],[correct_ratio]]&gt;0)</f>
        <v>1</v>
      </c>
      <c r="M345" s="2">
        <f>N(correct_ratio_df__2[[#This Row],[correct_ratio]]=1)</f>
        <v>1</v>
      </c>
      <c r="N345" s="2">
        <f>correct_ratio_df__2[[#This Row],[calc available]]-correct_ratio_df__2[[#This Row],[clac stable]]</f>
        <v>0</v>
      </c>
    </row>
    <row r="346" spans="1:14" x14ac:dyDescent="0.2">
      <c r="A346">
        <v>344</v>
      </c>
      <c r="B346" s="2" t="s">
        <v>65</v>
      </c>
      <c r="C346" s="2" t="s">
        <v>19</v>
      </c>
      <c r="D346" s="2" t="s">
        <v>18</v>
      </c>
      <c r="E346" s="2" t="s">
        <v>21</v>
      </c>
      <c r="F346" s="2" t="s">
        <v>29</v>
      </c>
      <c r="G346">
        <v>1</v>
      </c>
      <c r="H346" s="2" t="s">
        <v>30</v>
      </c>
      <c r="I346" s="2" t="s">
        <v>86</v>
      </c>
      <c r="L346" s="2">
        <f>N(correct_ratio_df__2[[#This Row],[correct_ratio]]&gt;0)</f>
        <v>1</v>
      </c>
      <c r="M346" s="2">
        <f>N(correct_ratio_df__2[[#This Row],[correct_ratio]]=1)</f>
        <v>1</v>
      </c>
      <c r="N346" s="2">
        <f>correct_ratio_df__2[[#This Row],[calc available]]-correct_ratio_df__2[[#This Row],[clac stable]]</f>
        <v>0</v>
      </c>
    </row>
    <row r="347" spans="1:14" x14ac:dyDescent="0.2">
      <c r="A347">
        <v>345</v>
      </c>
      <c r="B347" s="2" t="s">
        <v>66</v>
      </c>
      <c r="C347" s="2" t="s">
        <v>14</v>
      </c>
      <c r="D347" s="2" t="s">
        <v>18</v>
      </c>
      <c r="E347" s="2" t="s">
        <v>15</v>
      </c>
      <c r="F347" s="2" t="s">
        <v>29</v>
      </c>
      <c r="G347">
        <v>1</v>
      </c>
      <c r="H347" s="2" t="s">
        <v>30</v>
      </c>
      <c r="I347" s="2" t="s">
        <v>86</v>
      </c>
      <c r="L347" s="2">
        <f>N(correct_ratio_df__2[[#This Row],[correct_ratio]]&gt;0)</f>
        <v>1</v>
      </c>
      <c r="M347" s="2">
        <f>N(correct_ratio_df__2[[#This Row],[correct_ratio]]=1)</f>
        <v>1</v>
      </c>
      <c r="N347" s="2">
        <f>correct_ratio_df__2[[#This Row],[calc available]]-correct_ratio_df__2[[#This Row],[clac stable]]</f>
        <v>0</v>
      </c>
    </row>
    <row r="348" spans="1:14" x14ac:dyDescent="0.2">
      <c r="A348">
        <v>346</v>
      </c>
      <c r="B348" s="2" t="s">
        <v>67</v>
      </c>
      <c r="C348" s="2" t="s">
        <v>9</v>
      </c>
      <c r="D348" s="2" t="s">
        <v>17</v>
      </c>
      <c r="E348" s="2" t="s">
        <v>21</v>
      </c>
      <c r="F348" s="2" t="s">
        <v>29</v>
      </c>
      <c r="G348">
        <v>1</v>
      </c>
      <c r="H348" s="2" t="s">
        <v>30</v>
      </c>
      <c r="I348" s="2" t="s">
        <v>86</v>
      </c>
      <c r="L348" s="2">
        <f>N(correct_ratio_df__2[[#This Row],[correct_ratio]]&gt;0)</f>
        <v>1</v>
      </c>
      <c r="M348" s="2">
        <f>N(correct_ratio_df__2[[#This Row],[correct_ratio]]=1)</f>
        <v>1</v>
      </c>
      <c r="N348" s="2">
        <f>correct_ratio_df__2[[#This Row],[calc available]]-correct_ratio_df__2[[#This Row],[clac stable]]</f>
        <v>0</v>
      </c>
    </row>
    <row r="349" spans="1:14" x14ac:dyDescent="0.2">
      <c r="A349">
        <v>347</v>
      </c>
      <c r="B349" s="2" t="s">
        <v>68</v>
      </c>
      <c r="C349" s="2" t="s">
        <v>14</v>
      </c>
      <c r="D349" s="2" t="s">
        <v>17</v>
      </c>
      <c r="E349" s="2" t="s">
        <v>15</v>
      </c>
      <c r="F349" s="2" t="s">
        <v>29</v>
      </c>
      <c r="G349">
        <v>1</v>
      </c>
      <c r="H349" s="2" t="s">
        <v>30</v>
      </c>
      <c r="I349" s="2" t="s">
        <v>86</v>
      </c>
      <c r="L349" s="2">
        <f>N(correct_ratio_df__2[[#This Row],[correct_ratio]]&gt;0)</f>
        <v>1</v>
      </c>
      <c r="M349" s="2">
        <f>N(correct_ratio_df__2[[#This Row],[correct_ratio]]=1)</f>
        <v>1</v>
      </c>
      <c r="N349" s="2">
        <f>correct_ratio_df__2[[#This Row],[calc available]]-correct_ratio_df__2[[#This Row],[clac stable]]</f>
        <v>0</v>
      </c>
    </row>
    <row r="350" spans="1:14" x14ac:dyDescent="0.2">
      <c r="A350">
        <v>348</v>
      </c>
      <c r="B350" s="2" t="s">
        <v>69</v>
      </c>
      <c r="C350" s="2" t="s">
        <v>22</v>
      </c>
      <c r="D350" s="2" t="s">
        <v>17</v>
      </c>
      <c r="E350" s="2" t="s">
        <v>11</v>
      </c>
      <c r="F350" s="2" t="s">
        <v>29</v>
      </c>
      <c r="G350">
        <v>0.66666666666666663</v>
      </c>
      <c r="H350" s="2" t="s">
        <v>30</v>
      </c>
      <c r="I350" s="2" t="s">
        <v>86</v>
      </c>
      <c r="L350" s="2">
        <f>N(correct_ratio_df__2[[#This Row],[correct_ratio]]&gt;0)</f>
        <v>1</v>
      </c>
      <c r="M350" s="2">
        <f>N(correct_ratio_df__2[[#This Row],[correct_ratio]]=1)</f>
        <v>0</v>
      </c>
      <c r="N350" s="2">
        <f>correct_ratio_df__2[[#This Row],[calc available]]-correct_ratio_df__2[[#This Row],[clac stable]]</f>
        <v>1</v>
      </c>
    </row>
    <row r="351" spans="1:14" x14ac:dyDescent="0.2">
      <c r="A351">
        <v>349</v>
      </c>
      <c r="B351" s="2" t="s">
        <v>70</v>
      </c>
      <c r="C351" s="2" t="s">
        <v>9</v>
      </c>
      <c r="D351" s="2" t="s">
        <v>17</v>
      </c>
      <c r="E351" s="2" t="s">
        <v>15</v>
      </c>
      <c r="F351" s="2" t="s">
        <v>29</v>
      </c>
      <c r="G351">
        <v>1</v>
      </c>
      <c r="H351" s="2" t="s">
        <v>30</v>
      </c>
      <c r="I351" s="2" t="s">
        <v>86</v>
      </c>
      <c r="L351" s="2">
        <f>N(correct_ratio_df__2[[#This Row],[correct_ratio]]&gt;0)</f>
        <v>1</v>
      </c>
      <c r="M351" s="2">
        <f>N(correct_ratio_df__2[[#This Row],[correct_ratio]]=1)</f>
        <v>1</v>
      </c>
      <c r="N351" s="2">
        <f>correct_ratio_df__2[[#This Row],[calc available]]-correct_ratio_df__2[[#This Row],[clac stable]]</f>
        <v>0</v>
      </c>
    </row>
    <row r="352" spans="1:14" x14ac:dyDescent="0.2">
      <c r="A352">
        <v>350</v>
      </c>
      <c r="B352" s="2" t="s">
        <v>71</v>
      </c>
      <c r="C352" s="2" t="s">
        <v>9</v>
      </c>
      <c r="D352" s="2" t="s">
        <v>17</v>
      </c>
      <c r="E352" s="2" t="s">
        <v>21</v>
      </c>
      <c r="F352" s="2" t="s">
        <v>29</v>
      </c>
      <c r="G352">
        <v>1</v>
      </c>
      <c r="H352" s="2" t="s">
        <v>30</v>
      </c>
      <c r="I352" s="2" t="s">
        <v>86</v>
      </c>
      <c r="L352" s="2">
        <f>N(correct_ratio_df__2[[#This Row],[correct_ratio]]&gt;0)</f>
        <v>1</v>
      </c>
      <c r="M352" s="2">
        <f>N(correct_ratio_df__2[[#This Row],[correct_ratio]]=1)</f>
        <v>1</v>
      </c>
      <c r="N352" s="2">
        <f>correct_ratio_df__2[[#This Row],[calc available]]-correct_ratio_df__2[[#This Row],[clac stable]]</f>
        <v>0</v>
      </c>
    </row>
    <row r="353" spans="1:14" x14ac:dyDescent="0.2">
      <c r="A353">
        <v>351</v>
      </c>
      <c r="B353" s="2" t="s">
        <v>72</v>
      </c>
      <c r="C353" s="2" t="s">
        <v>19</v>
      </c>
      <c r="D353" s="2" t="s">
        <v>17</v>
      </c>
      <c r="E353" s="2" t="s">
        <v>11</v>
      </c>
      <c r="F353" s="2" t="s">
        <v>29</v>
      </c>
      <c r="G353">
        <v>1</v>
      </c>
      <c r="H353" s="2" t="s">
        <v>30</v>
      </c>
      <c r="I353" s="2" t="s">
        <v>86</v>
      </c>
      <c r="L353" s="2">
        <f>N(correct_ratio_df__2[[#This Row],[correct_ratio]]&gt;0)</f>
        <v>1</v>
      </c>
      <c r="M353" s="2">
        <f>N(correct_ratio_df__2[[#This Row],[correct_ratio]]=1)</f>
        <v>1</v>
      </c>
      <c r="N353" s="2">
        <f>correct_ratio_df__2[[#This Row],[calc available]]-correct_ratio_df__2[[#This Row],[clac stable]]</f>
        <v>0</v>
      </c>
    </row>
    <row r="354" spans="1:14" x14ac:dyDescent="0.2">
      <c r="A354">
        <v>352</v>
      </c>
      <c r="B354" s="2" t="s">
        <v>73</v>
      </c>
      <c r="C354" s="2" t="s">
        <v>16</v>
      </c>
      <c r="D354" s="2" t="s">
        <v>17</v>
      </c>
      <c r="E354" s="2" t="s">
        <v>11</v>
      </c>
      <c r="F354" s="2" t="s">
        <v>29</v>
      </c>
      <c r="G354">
        <v>1</v>
      </c>
      <c r="H354" s="2" t="s">
        <v>30</v>
      </c>
      <c r="I354" s="2" t="s">
        <v>86</v>
      </c>
      <c r="L354" s="2">
        <f>N(correct_ratio_df__2[[#This Row],[correct_ratio]]&gt;0)</f>
        <v>1</v>
      </c>
      <c r="M354" s="2">
        <f>N(correct_ratio_df__2[[#This Row],[correct_ratio]]=1)</f>
        <v>1</v>
      </c>
      <c r="N354" s="2">
        <f>correct_ratio_df__2[[#This Row],[calc available]]-correct_ratio_df__2[[#This Row],[clac stable]]</f>
        <v>0</v>
      </c>
    </row>
    <row r="355" spans="1:14" x14ac:dyDescent="0.2">
      <c r="A355">
        <v>353</v>
      </c>
      <c r="B355" s="2" t="s">
        <v>74</v>
      </c>
      <c r="C355" s="2" t="s">
        <v>22</v>
      </c>
      <c r="D355" s="2" t="s">
        <v>17</v>
      </c>
      <c r="E355" s="2" t="s">
        <v>21</v>
      </c>
      <c r="F355" s="2" t="s">
        <v>29</v>
      </c>
      <c r="G355">
        <v>1</v>
      </c>
      <c r="H355" s="2" t="s">
        <v>30</v>
      </c>
      <c r="I355" s="2" t="s">
        <v>86</v>
      </c>
      <c r="L355" s="2">
        <f>N(correct_ratio_df__2[[#This Row],[correct_ratio]]&gt;0)</f>
        <v>1</v>
      </c>
      <c r="M355" s="2">
        <f>N(correct_ratio_df__2[[#This Row],[correct_ratio]]=1)</f>
        <v>1</v>
      </c>
      <c r="N355" s="2">
        <f>correct_ratio_df__2[[#This Row],[calc available]]-correct_ratio_df__2[[#This Row],[clac stable]]</f>
        <v>0</v>
      </c>
    </row>
    <row r="356" spans="1:14" x14ac:dyDescent="0.2">
      <c r="A356">
        <v>354</v>
      </c>
      <c r="B356" s="2" t="s">
        <v>75</v>
      </c>
      <c r="C356" s="2" t="s">
        <v>14</v>
      </c>
      <c r="D356" s="2" t="s">
        <v>17</v>
      </c>
      <c r="E356" s="2" t="s">
        <v>21</v>
      </c>
      <c r="F356" s="2" t="s">
        <v>29</v>
      </c>
      <c r="G356">
        <v>1</v>
      </c>
      <c r="H356" s="2" t="s">
        <v>30</v>
      </c>
      <c r="I356" s="2" t="s">
        <v>86</v>
      </c>
      <c r="L356" s="2">
        <f>N(correct_ratio_df__2[[#This Row],[correct_ratio]]&gt;0)</f>
        <v>1</v>
      </c>
      <c r="M356" s="2">
        <f>N(correct_ratio_df__2[[#This Row],[correct_ratio]]=1)</f>
        <v>1</v>
      </c>
      <c r="N356" s="2">
        <f>correct_ratio_df__2[[#This Row],[calc available]]-correct_ratio_df__2[[#This Row],[clac stable]]</f>
        <v>0</v>
      </c>
    </row>
    <row r="357" spans="1:14" x14ac:dyDescent="0.2">
      <c r="A357">
        <v>355</v>
      </c>
      <c r="B357" s="2" t="s">
        <v>76</v>
      </c>
      <c r="C357" s="2" t="s">
        <v>14</v>
      </c>
      <c r="D357" s="2" t="s">
        <v>10</v>
      </c>
      <c r="E357" s="2" t="s">
        <v>21</v>
      </c>
      <c r="F357" s="2" t="s">
        <v>29</v>
      </c>
      <c r="G357">
        <v>1</v>
      </c>
      <c r="H357" s="2" t="s">
        <v>30</v>
      </c>
      <c r="I357" s="2" t="s">
        <v>86</v>
      </c>
      <c r="L357" s="2">
        <f>N(correct_ratio_df__2[[#This Row],[correct_ratio]]&gt;0)</f>
        <v>1</v>
      </c>
      <c r="M357" s="2">
        <f>N(correct_ratio_df__2[[#This Row],[correct_ratio]]=1)</f>
        <v>1</v>
      </c>
      <c r="N357" s="2">
        <f>correct_ratio_df__2[[#This Row],[calc available]]-correct_ratio_df__2[[#This Row],[clac stable]]</f>
        <v>0</v>
      </c>
    </row>
    <row r="358" spans="1:14" x14ac:dyDescent="0.2">
      <c r="A358">
        <v>356</v>
      </c>
      <c r="B358" s="2" t="s">
        <v>77</v>
      </c>
      <c r="C358" s="2" t="s">
        <v>9</v>
      </c>
      <c r="D358" s="2" t="s">
        <v>17</v>
      </c>
      <c r="E358" s="2" t="s">
        <v>15</v>
      </c>
      <c r="F358" s="2" t="s">
        <v>29</v>
      </c>
      <c r="G358">
        <v>0</v>
      </c>
      <c r="H358" s="2" t="s">
        <v>30</v>
      </c>
      <c r="I358" s="2" t="s">
        <v>86</v>
      </c>
      <c r="L358" s="2">
        <f>N(correct_ratio_df__2[[#This Row],[correct_ratio]]&gt;0)</f>
        <v>0</v>
      </c>
      <c r="M358" s="2">
        <f>N(correct_ratio_df__2[[#This Row],[correct_ratio]]=1)</f>
        <v>0</v>
      </c>
      <c r="N358" s="2">
        <f>correct_ratio_df__2[[#This Row],[calc available]]-correct_ratio_df__2[[#This Row],[clac stable]]</f>
        <v>0</v>
      </c>
    </row>
    <row r="359" spans="1:14" x14ac:dyDescent="0.2">
      <c r="A359">
        <v>357</v>
      </c>
      <c r="B359" s="2" t="s">
        <v>78</v>
      </c>
      <c r="C359" s="2" t="s">
        <v>9</v>
      </c>
      <c r="D359" s="2" t="s">
        <v>17</v>
      </c>
      <c r="E359" s="2" t="s">
        <v>21</v>
      </c>
      <c r="F359" s="2" t="s">
        <v>29</v>
      </c>
      <c r="G359">
        <v>1</v>
      </c>
      <c r="H359" s="2" t="s">
        <v>30</v>
      </c>
      <c r="I359" s="2" t="s">
        <v>86</v>
      </c>
      <c r="L359" s="2">
        <f>N(correct_ratio_df__2[[#This Row],[correct_ratio]]&gt;0)</f>
        <v>1</v>
      </c>
      <c r="M359" s="2">
        <f>N(correct_ratio_df__2[[#This Row],[correct_ratio]]=1)</f>
        <v>1</v>
      </c>
      <c r="N359" s="2">
        <f>correct_ratio_df__2[[#This Row],[calc available]]-correct_ratio_df__2[[#This Row],[clac stable]]</f>
        <v>0</v>
      </c>
    </row>
    <row r="360" spans="1:14" x14ac:dyDescent="0.2">
      <c r="A360">
        <v>358</v>
      </c>
      <c r="B360" s="2" t="s">
        <v>79</v>
      </c>
      <c r="C360" s="2" t="s">
        <v>14</v>
      </c>
      <c r="D360" s="2" t="s">
        <v>17</v>
      </c>
      <c r="E360" s="2" t="s">
        <v>11</v>
      </c>
      <c r="F360" s="2" t="s">
        <v>29</v>
      </c>
      <c r="G360">
        <v>1</v>
      </c>
      <c r="H360" s="2" t="s">
        <v>30</v>
      </c>
      <c r="I360" s="2" t="s">
        <v>86</v>
      </c>
      <c r="L360" s="2">
        <f>N(correct_ratio_df__2[[#This Row],[correct_ratio]]&gt;0)</f>
        <v>1</v>
      </c>
      <c r="M360" s="2">
        <f>N(correct_ratio_df__2[[#This Row],[correct_ratio]]=1)</f>
        <v>1</v>
      </c>
      <c r="N360" s="2">
        <f>correct_ratio_df__2[[#This Row],[calc available]]-correct_ratio_df__2[[#This Row],[clac stable]]</f>
        <v>0</v>
      </c>
    </row>
    <row r="361" spans="1:14" x14ac:dyDescent="0.2">
      <c r="A361">
        <v>359</v>
      </c>
      <c r="B361" s="2" t="s">
        <v>80</v>
      </c>
      <c r="C361" s="2" t="s">
        <v>22</v>
      </c>
      <c r="D361" s="2" t="s">
        <v>20</v>
      </c>
      <c r="E361" s="2" t="s">
        <v>11</v>
      </c>
      <c r="F361" s="2" t="s">
        <v>29</v>
      </c>
      <c r="G361">
        <v>0</v>
      </c>
      <c r="H361" s="2" t="s">
        <v>30</v>
      </c>
      <c r="I361" s="2" t="s">
        <v>86</v>
      </c>
      <c r="L361" s="2">
        <f>N(correct_ratio_df__2[[#This Row],[correct_ratio]]&gt;0)</f>
        <v>0</v>
      </c>
      <c r="M361" s="2">
        <f>N(correct_ratio_df__2[[#This Row],[correct_ratio]]=1)</f>
        <v>0</v>
      </c>
      <c r="N361" s="2">
        <f>correct_ratio_df__2[[#This Row],[calc available]]-correct_ratio_df__2[[#This Row],[clac stable]]</f>
        <v>0</v>
      </c>
    </row>
    <row r="362" spans="1:14" x14ac:dyDescent="0.2">
      <c r="A362">
        <v>360</v>
      </c>
      <c r="B362" s="2" t="s">
        <v>41</v>
      </c>
      <c r="C362" s="2" t="s">
        <v>9</v>
      </c>
      <c r="D362" s="2" t="s">
        <v>10</v>
      </c>
      <c r="E362" s="2" t="s">
        <v>11</v>
      </c>
      <c r="F362" s="2" t="s">
        <v>83</v>
      </c>
      <c r="G362">
        <v>0.66666666666666663</v>
      </c>
      <c r="H362" s="2" t="s">
        <v>24</v>
      </c>
      <c r="I362" s="2" t="s">
        <v>90</v>
      </c>
      <c r="L362" s="2">
        <f>N(correct_ratio_df__2[[#This Row],[correct_ratio]]&gt;0)</f>
        <v>1</v>
      </c>
      <c r="M362" s="2">
        <f>N(correct_ratio_df__2[[#This Row],[correct_ratio]]=1)</f>
        <v>0</v>
      </c>
      <c r="N362" s="2">
        <f>correct_ratio_df__2[[#This Row],[calc available]]-correct_ratio_df__2[[#This Row],[clac stable]]</f>
        <v>1</v>
      </c>
    </row>
    <row r="363" spans="1:14" x14ac:dyDescent="0.2">
      <c r="A363">
        <v>361</v>
      </c>
      <c r="B363" s="2" t="s">
        <v>42</v>
      </c>
      <c r="C363" s="2" t="s">
        <v>14</v>
      </c>
      <c r="D363" s="2" t="s">
        <v>10</v>
      </c>
      <c r="E363" s="2" t="s">
        <v>15</v>
      </c>
      <c r="F363" s="2" t="s">
        <v>83</v>
      </c>
      <c r="G363">
        <v>1</v>
      </c>
      <c r="H363" s="2" t="s">
        <v>24</v>
      </c>
      <c r="I363" s="2" t="s">
        <v>90</v>
      </c>
      <c r="L363" s="2">
        <f>N(correct_ratio_df__2[[#This Row],[correct_ratio]]&gt;0)</f>
        <v>1</v>
      </c>
      <c r="M363" s="2">
        <f>N(correct_ratio_df__2[[#This Row],[correct_ratio]]=1)</f>
        <v>1</v>
      </c>
      <c r="N363" s="2">
        <f>correct_ratio_df__2[[#This Row],[calc available]]-correct_ratio_df__2[[#This Row],[clac stable]]</f>
        <v>0</v>
      </c>
    </row>
    <row r="364" spans="1:14" x14ac:dyDescent="0.2">
      <c r="A364">
        <v>362</v>
      </c>
      <c r="B364" s="2" t="s">
        <v>43</v>
      </c>
      <c r="C364" s="2" t="s">
        <v>16</v>
      </c>
      <c r="D364" s="2" t="s">
        <v>17</v>
      </c>
      <c r="E364" s="2" t="s">
        <v>11</v>
      </c>
      <c r="F364" s="2" t="s">
        <v>83</v>
      </c>
      <c r="G364">
        <v>1</v>
      </c>
      <c r="H364" s="2" t="s">
        <v>24</v>
      </c>
      <c r="I364" s="2" t="s">
        <v>90</v>
      </c>
      <c r="L364" s="2">
        <f>N(correct_ratio_df__2[[#This Row],[correct_ratio]]&gt;0)</f>
        <v>1</v>
      </c>
      <c r="M364" s="2">
        <f>N(correct_ratio_df__2[[#This Row],[correct_ratio]]=1)</f>
        <v>1</v>
      </c>
      <c r="N364" s="2">
        <f>correct_ratio_df__2[[#This Row],[calc available]]-correct_ratio_df__2[[#This Row],[clac stable]]</f>
        <v>0</v>
      </c>
    </row>
    <row r="365" spans="1:14" x14ac:dyDescent="0.2">
      <c r="A365">
        <v>363</v>
      </c>
      <c r="B365" s="2" t="s">
        <v>44</v>
      </c>
      <c r="C365" s="2" t="s">
        <v>16</v>
      </c>
      <c r="D365" s="2" t="s">
        <v>10</v>
      </c>
      <c r="E365" s="2" t="s">
        <v>15</v>
      </c>
      <c r="F365" s="2" t="s">
        <v>83</v>
      </c>
      <c r="G365">
        <v>1</v>
      </c>
      <c r="H365" s="2" t="s">
        <v>24</v>
      </c>
      <c r="I365" s="2" t="s">
        <v>90</v>
      </c>
      <c r="L365" s="2">
        <f>N(correct_ratio_df__2[[#This Row],[correct_ratio]]&gt;0)</f>
        <v>1</v>
      </c>
      <c r="M365" s="2">
        <f>N(correct_ratio_df__2[[#This Row],[correct_ratio]]=1)</f>
        <v>1</v>
      </c>
      <c r="N365" s="2">
        <f>correct_ratio_df__2[[#This Row],[calc available]]-correct_ratio_df__2[[#This Row],[clac stable]]</f>
        <v>0</v>
      </c>
    </row>
    <row r="366" spans="1:14" x14ac:dyDescent="0.2">
      <c r="A366">
        <v>364</v>
      </c>
      <c r="B366" s="2" t="s">
        <v>45</v>
      </c>
      <c r="C366" s="2" t="s">
        <v>14</v>
      </c>
      <c r="D366" s="2" t="s">
        <v>18</v>
      </c>
      <c r="E366" s="2" t="s">
        <v>15</v>
      </c>
      <c r="F366" s="2" t="s">
        <v>83</v>
      </c>
      <c r="G366">
        <v>1</v>
      </c>
      <c r="H366" s="2" t="s">
        <v>24</v>
      </c>
      <c r="I366" s="2" t="s">
        <v>90</v>
      </c>
      <c r="L366" s="2">
        <f>N(correct_ratio_df__2[[#This Row],[correct_ratio]]&gt;0)</f>
        <v>1</v>
      </c>
      <c r="M366" s="2">
        <f>N(correct_ratio_df__2[[#This Row],[correct_ratio]]=1)</f>
        <v>1</v>
      </c>
      <c r="N366" s="2">
        <f>correct_ratio_df__2[[#This Row],[calc available]]-correct_ratio_df__2[[#This Row],[clac stable]]</f>
        <v>0</v>
      </c>
    </row>
    <row r="367" spans="1:14" x14ac:dyDescent="0.2">
      <c r="A367">
        <v>365</v>
      </c>
      <c r="B367" s="2" t="s">
        <v>46</v>
      </c>
      <c r="C367" s="2" t="s">
        <v>14</v>
      </c>
      <c r="D367" s="2" t="s">
        <v>10</v>
      </c>
      <c r="E367" s="2" t="s">
        <v>15</v>
      </c>
      <c r="F367" s="2" t="s">
        <v>83</v>
      </c>
      <c r="G367">
        <v>0</v>
      </c>
      <c r="H367" s="2" t="s">
        <v>24</v>
      </c>
      <c r="I367" s="2" t="s">
        <v>90</v>
      </c>
      <c r="L367" s="2">
        <f>N(correct_ratio_df__2[[#This Row],[correct_ratio]]&gt;0)</f>
        <v>0</v>
      </c>
      <c r="M367" s="2">
        <f>N(correct_ratio_df__2[[#This Row],[correct_ratio]]=1)</f>
        <v>0</v>
      </c>
      <c r="N367" s="2">
        <f>correct_ratio_df__2[[#This Row],[calc available]]-correct_ratio_df__2[[#This Row],[clac stable]]</f>
        <v>0</v>
      </c>
    </row>
    <row r="368" spans="1:14" x14ac:dyDescent="0.2">
      <c r="A368">
        <v>366</v>
      </c>
      <c r="B368" s="2" t="s">
        <v>47</v>
      </c>
      <c r="C368" s="2" t="s">
        <v>19</v>
      </c>
      <c r="D368" s="2" t="s">
        <v>10</v>
      </c>
      <c r="E368" s="2" t="s">
        <v>15</v>
      </c>
      <c r="F368" s="2" t="s">
        <v>83</v>
      </c>
      <c r="G368">
        <v>1</v>
      </c>
      <c r="H368" s="2" t="s">
        <v>24</v>
      </c>
      <c r="I368" s="2" t="s">
        <v>90</v>
      </c>
      <c r="L368" s="2">
        <f>N(correct_ratio_df__2[[#This Row],[correct_ratio]]&gt;0)</f>
        <v>1</v>
      </c>
      <c r="M368" s="2">
        <f>N(correct_ratio_df__2[[#This Row],[correct_ratio]]=1)</f>
        <v>1</v>
      </c>
      <c r="N368" s="2">
        <f>correct_ratio_df__2[[#This Row],[calc available]]-correct_ratio_df__2[[#This Row],[clac stable]]</f>
        <v>0</v>
      </c>
    </row>
    <row r="369" spans="1:14" x14ac:dyDescent="0.2">
      <c r="A369">
        <v>367</v>
      </c>
      <c r="B369" s="2" t="s">
        <v>48</v>
      </c>
      <c r="C369" s="2" t="s">
        <v>16</v>
      </c>
      <c r="D369" s="2" t="s">
        <v>20</v>
      </c>
      <c r="E369" s="2" t="s">
        <v>21</v>
      </c>
      <c r="F369" s="2" t="s">
        <v>83</v>
      </c>
      <c r="G369">
        <v>1</v>
      </c>
      <c r="H369" s="2" t="s">
        <v>24</v>
      </c>
      <c r="I369" s="2" t="s">
        <v>90</v>
      </c>
      <c r="L369" s="2">
        <f>N(correct_ratio_df__2[[#This Row],[correct_ratio]]&gt;0)</f>
        <v>1</v>
      </c>
      <c r="M369" s="2">
        <f>N(correct_ratio_df__2[[#This Row],[correct_ratio]]=1)</f>
        <v>1</v>
      </c>
      <c r="N369" s="2">
        <f>correct_ratio_df__2[[#This Row],[calc available]]-correct_ratio_df__2[[#This Row],[clac stable]]</f>
        <v>0</v>
      </c>
    </row>
    <row r="370" spans="1:14" x14ac:dyDescent="0.2">
      <c r="A370">
        <v>368</v>
      </c>
      <c r="B370" s="2" t="s">
        <v>49</v>
      </c>
      <c r="C370" s="2" t="s">
        <v>16</v>
      </c>
      <c r="D370" s="2" t="s">
        <v>10</v>
      </c>
      <c r="E370" s="2" t="s">
        <v>21</v>
      </c>
      <c r="F370" s="2" t="s">
        <v>83</v>
      </c>
      <c r="G370">
        <v>0.33333333333333331</v>
      </c>
      <c r="H370" s="2" t="s">
        <v>24</v>
      </c>
      <c r="I370" s="2" t="s">
        <v>90</v>
      </c>
      <c r="L370" s="2">
        <f>N(correct_ratio_df__2[[#This Row],[correct_ratio]]&gt;0)</f>
        <v>1</v>
      </c>
      <c r="M370" s="2">
        <f>N(correct_ratio_df__2[[#This Row],[correct_ratio]]=1)</f>
        <v>0</v>
      </c>
      <c r="N370" s="2">
        <f>correct_ratio_df__2[[#This Row],[calc available]]-correct_ratio_df__2[[#This Row],[clac stable]]</f>
        <v>1</v>
      </c>
    </row>
    <row r="371" spans="1:14" x14ac:dyDescent="0.2">
      <c r="A371">
        <v>369</v>
      </c>
      <c r="B371" s="2" t="s">
        <v>50</v>
      </c>
      <c r="C371" s="2" t="s">
        <v>9</v>
      </c>
      <c r="D371" s="2" t="s">
        <v>17</v>
      </c>
      <c r="E371" s="2" t="s">
        <v>21</v>
      </c>
      <c r="F371" s="2" t="s">
        <v>83</v>
      </c>
      <c r="G371">
        <v>0.33333333333333331</v>
      </c>
      <c r="H371" s="2" t="s">
        <v>24</v>
      </c>
      <c r="I371" s="2" t="s">
        <v>90</v>
      </c>
      <c r="L371" s="2">
        <f>N(correct_ratio_df__2[[#This Row],[correct_ratio]]&gt;0)</f>
        <v>1</v>
      </c>
      <c r="M371" s="2">
        <f>N(correct_ratio_df__2[[#This Row],[correct_ratio]]=1)</f>
        <v>0</v>
      </c>
      <c r="N371" s="2">
        <f>correct_ratio_df__2[[#This Row],[calc available]]-correct_ratio_df__2[[#This Row],[clac stable]]</f>
        <v>1</v>
      </c>
    </row>
    <row r="372" spans="1:14" x14ac:dyDescent="0.2">
      <c r="A372">
        <v>370</v>
      </c>
      <c r="B372" s="2" t="s">
        <v>51</v>
      </c>
      <c r="C372" s="2" t="s">
        <v>16</v>
      </c>
      <c r="D372" s="2" t="s">
        <v>17</v>
      </c>
      <c r="E372" s="2" t="s">
        <v>11</v>
      </c>
      <c r="F372" s="2" t="s">
        <v>83</v>
      </c>
      <c r="G372">
        <v>1</v>
      </c>
      <c r="H372" s="2" t="s">
        <v>24</v>
      </c>
      <c r="I372" s="2" t="s">
        <v>90</v>
      </c>
      <c r="L372" s="2">
        <f>N(correct_ratio_df__2[[#This Row],[correct_ratio]]&gt;0)</f>
        <v>1</v>
      </c>
      <c r="M372" s="2">
        <f>N(correct_ratio_df__2[[#This Row],[correct_ratio]]=1)</f>
        <v>1</v>
      </c>
      <c r="N372" s="2">
        <f>correct_ratio_df__2[[#This Row],[calc available]]-correct_ratio_df__2[[#This Row],[clac stable]]</f>
        <v>0</v>
      </c>
    </row>
    <row r="373" spans="1:14" x14ac:dyDescent="0.2">
      <c r="A373">
        <v>371</v>
      </c>
      <c r="B373" s="2" t="s">
        <v>52</v>
      </c>
      <c r="C373" s="2" t="s">
        <v>9</v>
      </c>
      <c r="D373" s="2" t="s">
        <v>17</v>
      </c>
      <c r="E373" s="2" t="s">
        <v>15</v>
      </c>
      <c r="F373" s="2" t="s">
        <v>83</v>
      </c>
      <c r="G373">
        <v>1</v>
      </c>
      <c r="H373" s="2" t="s">
        <v>24</v>
      </c>
      <c r="I373" s="2" t="s">
        <v>90</v>
      </c>
      <c r="L373" s="2">
        <f>N(correct_ratio_df__2[[#This Row],[correct_ratio]]&gt;0)</f>
        <v>1</v>
      </c>
      <c r="M373" s="2">
        <f>N(correct_ratio_df__2[[#This Row],[correct_ratio]]=1)</f>
        <v>1</v>
      </c>
      <c r="N373" s="2">
        <f>correct_ratio_df__2[[#This Row],[calc available]]-correct_ratio_df__2[[#This Row],[clac stable]]</f>
        <v>0</v>
      </c>
    </row>
    <row r="374" spans="1:14" x14ac:dyDescent="0.2">
      <c r="A374">
        <v>372</v>
      </c>
      <c r="B374" s="2" t="s">
        <v>53</v>
      </c>
      <c r="C374" s="2" t="s">
        <v>19</v>
      </c>
      <c r="D374" s="2" t="s">
        <v>17</v>
      </c>
      <c r="E374" s="2" t="s">
        <v>21</v>
      </c>
      <c r="F374" s="2" t="s">
        <v>83</v>
      </c>
      <c r="G374">
        <v>1</v>
      </c>
      <c r="H374" s="2" t="s">
        <v>24</v>
      </c>
      <c r="I374" s="2" t="s">
        <v>90</v>
      </c>
      <c r="L374" s="2">
        <f>N(correct_ratio_df__2[[#This Row],[correct_ratio]]&gt;0)</f>
        <v>1</v>
      </c>
      <c r="M374" s="2">
        <f>N(correct_ratio_df__2[[#This Row],[correct_ratio]]=1)</f>
        <v>1</v>
      </c>
      <c r="N374" s="2">
        <f>correct_ratio_df__2[[#This Row],[calc available]]-correct_ratio_df__2[[#This Row],[clac stable]]</f>
        <v>0</v>
      </c>
    </row>
    <row r="375" spans="1:14" x14ac:dyDescent="0.2">
      <c r="A375">
        <v>373</v>
      </c>
      <c r="B375" s="2" t="s">
        <v>54</v>
      </c>
      <c r="C375" s="2" t="s">
        <v>14</v>
      </c>
      <c r="D375" s="2" t="s">
        <v>17</v>
      </c>
      <c r="E375" s="2" t="s">
        <v>15</v>
      </c>
      <c r="F375" s="2" t="s">
        <v>83</v>
      </c>
      <c r="G375">
        <v>1</v>
      </c>
      <c r="H375" s="2" t="s">
        <v>24</v>
      </c>
      <c r="I375" s="2" t="s">
        <v>90</v>
      </c>
      <c r="L375" s="2">
        <f>N(correct_ratio_df__2[[#This Row],[correct_ratio]]&gt;0)</f>
        <v>1</v>
      </c>
      <c r="M375" s="2">
        <f>N(correct_ratio_df__2[[#This Row],[correct_ratio]]=1)</f>
        <v>1</v>
      </c>
      <c r="N375" s="2">
        <f>correct_ratio_df__2[[#This Row],[calc available]]-correct_ratio_df__2[[#This Row],[clac stable]]</f>
        <v>0</v>
      </c>
    </row>
    <row r="376" spans="1:14" x14ac:dyDescent="0.2">
      <c r="A376">
        <v>374</v>
      </c>
      <c r="B376" s="2" t="s">
        <v>55</v>
      </c>
      <c r="C376" s="2" t="s">
        <v>9</v>
      </c>
      <c r="D376" s="2" t="s">
        <v>18</v>
      </c>
      <c r="E376" s="2" t="s">
        <v>21</v>
      </c>
      <c r="F376" s="2" t="s">
        <v>83</v>
      </c>
      <c r="G376">
        <v>1</v>
      </c>
      <c r="H376" s="2" t="s">
        <v>24</v>
      </c>
      <c r="I376" s="2" t="s">
        <v>90</v>
      </c>
      <c r="L376" s="2">
        <f>N(correct_ratio_df__2[[#This Row],[correct_ratio]]&gt;0)</f>
        <v>1</v>
      </c>
      <c r="M376" s="2">
        <f>N(correct_ratio_df__2[[#This Row],[correct_ratio]]=1)</f>
        <v>1</v>
      </c>
      <c r="N376" s="2">
        <f>correct_ratio_df__2[[#This Row],[calc available]]-correct_ratio_df__2[[#This Row],[clac stable]]</f>
        <v>0</v>
      </c>
    </row>
    <row r="377" spans="1:14" x14ac:dyDescent="0.2">
      <c r="A377">
        <v>375</v>
      </c>
      <c r="B377" s="2" t="s">
        <v>56</v>
      </c>
      <c r="C377" s="2" t="s">
        <v>19</v>
      </c>
      <c r="D377" s="2" t="s">
        <v>17</v>
      </c>
      <c r="E377" s="2" t="s">
        <v>21</v>
      </c>
      <c r="F377" s="2" t="s">
        <v>83</v>
      </c>
      <c r="G377">
        <v>1</v>
      </c>
      <c r="H377" s="2" t="s">
        <v>24</v>
      </c>
      <c r="I377" s="2" t="s">
        <v>90</v>
      </c>
      <c r="L377" s="2">
        <f>N(correct_ratio_df__2[[#This Row],[correct_ratio]]&gt;0)</f>
        <v>1</v>
      </c>
      <c r="M377" s="2">
        <f>N(correct_ratio_df__2[[#This Row],[correct_ratio]]=1)</f>
        <v>1</v>
      </c>
      <c r="N377" s="2">
        <f>correct_ratio_df__2[[#This Row],[calc available]]-correct_ratio_df__2[[#This Row],[clac stable]]</f>
        <v>0</v>
      </c>
    </row>
    <row r="378" spans="1:14" x14ac:dyDescent="0.2">
      <c r="A378">
        <v>376</v>
      </c>
      <c r="B378" s="2" t="s">
        <v>57</v>
      </c>
      <c r="C378" s="2" t="s">
        <v>9</v>
      </c>
      <c r="D378" s="2" t="s">
        <v>17</v>
      </c>
      <c r="E378" s="2" t="s">
        <v>21</v>
      </c>
      <c r="F378" s="2" t="s">
        <v>83</v>
      </c>
      <c r="G378">
        <v>1</v>
      </c>
      <c r="H378" s="2" t="s">
        <v>24</v>
      </c>
      <c r="I378" s="2" t="s">
        <v>90</v>
      </c>
      <c r="L378" s="2">
        <f>N(correct_ratio_df__2[[#This Row],[correct_ratio]]&gt;0)</f>
        <v>1</v>
      </c>
      <c r="M378" s="2">
        <f>N(correct_ratio_df__2[[#This Row],[correct_ratio]]=1)</f>
        <v>1</v>
      </c>
      <c r="N378" s="2">
        <f>correct_ratio_df__2[[#This Row],[calc available]]-correct_ratio_df__2[[#This Row],[clac stable]]</f>
        <v>0</v>
      </c>
    </row>
    <row r="379" spans="1:14" x14ac:dyDescent="0.2">
      <c r="A379">
        <v>377</v>
      </c>
      <c r="B379" s="2" t="s">
        <v>58</v>
      </c>
      <c r="C379" s="2" t="s">
        <v>9</v>
      </c>
      <c r="D379" s="2" t="s">
        <v>17</v>
      </c>
      <c r="E379" s="2" t="s">
        <v>21</v>
      </c>
      <c r="F379" s="2" t="s">
        <v>83</v>
      </c>
      <c r="G379">
        <v>0.66666666666666663</v>
      </c>
      <c r="H379" s="2" t="s">
        <v>24</v>
      </c>
      <c r="I379" s="2" t="s">
        <v>90</v>
      </c>
      <c r="L379" s="2">
        <f>N(correct_ratio_df__2[[#This Row],[correct_ratio]]&gt;0)</f>
        <v>1</v>
      </c>
      <c r="M379" s="2">
        <f>N(correct_ratio_df__2[[#This Row],[correct_ratio]]=1)</f>
        <v>0</v>
      </c>
      <c r="N379" s="2">
        <f>correct_ratio_df__2[[#This Row],[calc available]]-correct_ratio_df__2[[#This Row],[clac stable]]</f>
        <v>1</v>
      </c>
    </row>
    <row r="380" spans="1:14" x14ac:dyDescent="0.2">
      <c r="A380">
        <v>378</v>
      </c>
      <c r="B380" s="2" t="s">
        <v>59</v>
      </c>
      <c r="C380" s="2" t="s">
        <v>19</v>
      </c>
      <c r="D380" s="2" t="s">
        <v>17</v>
      </c>
      <c r="E380" s="2" t="s">
        <v>15</v>
      </c>
      <c r="F380" s="2" t="s">
        <v>83</v>
      </c>
      <c r="G380">
        <v>1</v>
      </c>
      <c r="H380" s="2" t="s">
        <v>24</v>
      </c>
      <c r="I380" s="2" t="s">
        <v>90</v>
      </c>
      <c r="L380" s="2">
        <f>N(correct_ratio_df__2[[#This Row],[correct_ratio]]&gt;0)</f>
        <v>1</v>
      </c>
      <c r="M380" s="2">
        <f>N(correct_ratio_df__2[[#This Row],[correct_ratio]]=1)</f>
        <v>1</v>
      </c>
      <c r="N380" s="2">
        <f>correct_ratio_df__2[[#This Row],[calc available]]-correct_ratio_df__2[[#This Row],[clac stable]]</f>
        <v>0</v>
      </c>
    </row>
    <row r="381" spans="1:14" x14ac:dyDescent="0.2">
      <c r="A381">
        <v>379</v>
      </c>
      <c r="B381" s="2" t="s">
        <v>60</v>
      </c>
      <c r="C381" s="2" t="s">
        <v>9</v>
      </c>
      <c r="D381" s="2" t="s">
        <v>17</v>
      </c>
      <c r="E381" s="2" t="s">
        <v>21</v>
      </c>
      <c r="F381" s="2" t="s">
        <v>83</v>
      </c>
      <c r="G381">
        <v>0</v>
      </c>
      <c r="H381" s="2" t="s">
        <v>24</v>
      </c>
      <c r="I381" s="2" t="s">
        <v>90</v>
      </c>
      <c r="L381" s="2">
        <f>N(correct_ratio_df__2[[#This Row],[correct_ratio]]&gt;0)</f>
        <v>0</v>
      </c>
      <c r="M381" s="2">
        <f>N(correct_ratio_df__2[[#This Row],[correct_ratio]]=1)</f>
        <v>0</v>
      </c>
      <c r="N381" s="2">
        <f>correct_ratio_df__2[[#This Row],[calc available]]-correct_ratio_df__2[[#This Row],[clac stable]]</f>
        <v>0</v>
      </c>
    </row>
    <row r="382" spans="1:14" x14ac:dyDescent="0.2">
      <c r="A382">
        <v>380</v>
      </c>
      <c r="B382" s="2" t="s">
        <v>61</v>
      </c>
      <c r="C382" s="2" t="s">
        <v>14</v>
      </c>
      <c r="D382" s="2" t="s">
        <v>10</v>
      </c>
      <c r="E382" s="2" t="s">
        <v>11</v>
      </c>
      <c r="F382" s="2" t="s">
        <v>83</v>
      </c>
      <c r="G382">
        <v>1</v>
      </c>
      <c r="H382" s="2" t="s">
        <v>24</v>
      </c>
      <c r="I382" s="2" t="s">
        <v>90</v>
      </c>
      <c r="L382" s="2">
        <f>N(correct_ratio_df__2[[#This Row],[correct_ratio]]&gt;0)</f>
        <v>1</v>
      </c>
      <c r="M382" s="2">
        <f>N(correct_ratio_df__2[[#This Row],[correct_ratio]]=1)</f>
        <v>1</v>
      </c>
      <c r="N382" s="2">
        <f>correct_ratio_df__2[[#This Row],[calc available]]-correct_ratio_df__2[[#This Row],[clac stable]]</f>
        <v>0</v>
      </c>
    </row>
    <row r="383" spans="1:14" x14ac:dyDescent="0.2">
      <c r="A383">
        <v>381</v>
      </c>
      <c r="B383" s="2" t="s">
        <v>62</v>
      </c>
      <c r="C383" s="2" t="s">
        <v>16</v>
      </c>
      <c r="D383" s="2" t="s">
        <v>18</v>
      </c>
      <c r="E383" s="2" t="s">
        <v>11</v>
      </c>
      <c r="F383" s="2" t="s">
        <v>83</v>
      </c>
      <c r="G383">
        <v>1</v>
      </c>
      <c r="H383" s="2" t="s">
        <v>24</v>
      </c>
      <c r="I383" s="2" t="s">
        <v>90</v>
      </c>
      <c r="L383" s="2">
        <f>N(correct_ratio_df__2[[#This Row],[correct_ratio]]&gt;0)</f>
        <v>1</v>
      </c>
      <c r="M383" s="2">
        <f>N(correct_ratio_df__2[[#This Row],[correct_ratio]]=1)</f>
        <v>1</v>
      </c>
      <c r="N383" s="2">
        <f>correct_ratio_df__2[[#This Row],[calc available]]-correct_ratio_df__2[[#This Row],[clac stable]]</f>
        <v>0</v>
      </c>
    </row>
    <row r="384" spans="1:14" x14ac:dyDescent="0.2">
      <c r="A384">
        <v>382</v>
      </c>
      <c r="B384" s="2" t="s">
        <v>63</v>
      </c>
      <c r="C384" s="2" t="s">
        <v>9</v>
      </c>
      <c r="D384" s="2" t="s">
        <v>20</v>
      </c>
      <c r="E384" s="2" t="s">
        <v>15</v>
      </c>
      <c r="F384" s="2" t="s">
        <v>83</v>
      </c>
      <c r="G384">
        <v>1</v>
      </c>
      <c r="H384" s="2" t="s">
        <v>24</v>
      </c>
      <c r="I384" s="2" t="s">
        <v>90</v>
      </c>
      <c r="L384" s="2">
        <f>N(correct_ratio_df__2[[#This Row],[correct_ratio]]&gt;0)</f>
        <v>1</v>
      </c>
      <c r="M384" s="2">
        <f>N(correct_ratio_df__2[[#This Row],[correct_ratio]]=1)</f>
        <v>1</v>
      </c>
      <c r="N384" s="2">
        <f>correct_ratio_df__2[[#This Row],[calc available]]-correct_ratio_df__2[[#This Row],[clac stable]]</f>
        <v>0</v>
      </c>
    </row>
    <row r="385" spans="1:14" x14ac:dyDescent="0.2">
      <c r="A385">
        <v>383</v>
      </c>
      <c r="B385" s="2" t="s">
        <v>64</v>
      </c>
      <c r="C385" s="2" t="s">
        <v>14</v>
      </c>
      <c r="D385" s="2" t="s">
        <v>17</v>
      </c>
      <c r="E385" s="2" t="s">
        <v>11</v>
      </c>
      <c r="F385" s="2" t="s">
        <v>83</v>
      </c>
      <c r="G385">
        <v>1</v>
      </c>
      <c r="H385" s="2" t="s">
        <v>24</v>
      </c>
      <c r="I385" s="2" t="s">
        <v>90</v>
      </c>
      <c r="L385" s="2">
        <f>N(correct_ratio_df__2[[#This Row],[correct_ratio]]&gt;0)</f>
        <v>1</v>
      </c>
      <c r="M385" s="2">
        <f>N(correct_ratio_df__2[[#This Row],[correct_ratio]]=1)</f>
        <v>1</v>
      </c>
      <c r="N385" s="2">
        <f>correct_ratio_df__2[[#This Row],[calc available]]-correct_ratio_df__2[[#This Row],[clac stable]]</f>
        <v>0</v>
      </c>
    </row>
    <row r="386" spans="1:14" x14ac:dyDescent="0.2">
      <c r="A386">
        <v>384</v>
      </c>
      <c r="B386" s="2" t="s">
        <v>65</v>
      </c>
      <c r="C386" s="2" t="s">
        <v>19</v>
      </c>
      <c r="D386" s="2" t="s">
        <v>18</v>
      </c>
      <c r="E386" s="2" t="s">
        <v>21</v>
      </c>
      <c r="F386" s="2" t="s">
        <v>83</v>
      </c>
      <c r="G386">
        <v>0</v>
      </c>
      <c r="H386" s="2" t="s">
        <v>24</v>
      </c>
      <c r="I386" s="2" t="s">
        <v>90</v>
      </c>
      <c r="L386" s="2">
        <f>N(correct_ratio_df__2[[#This Row],[correct_ratio]]&gt;0)</f>
        <v>0</v>
      </c>
      <c r="M386" s="2">
        <f>N(correct_ratio_df__2[[#This Row],[correct_ratio]]=1)</f>
        <v>0</v>
      </c>
      <c r="N386" s="2">
        <f>correct_ratio_df__2[[#This Row],[calc available]]-correct_ratio_df__2[[#This Row],[clac stable]]</f>
        <v>0</v>
      </c>
    </row>
    <row r="387" spans="1:14" x14ac:dyDescent="0.2">
      <c r="A387">
        <v>385</v>
      </c>
      <c r="B387" s="2" t="s">
        <v>66</v>
      </c>
      <c r="C387" s="2" t="s">
        <v>14</v>
      </c>
      <c r="D387" s="2" t="s">
        <v>18</v>
      </c>
      <c r="E387" s="2" t="s">
        <v>15</v>
      </c>
      <c r="F387" s="2" t="s">
        <v>83</v>
      </c>
      <c r="G387">
        <v>1</v>
      </c>
      <c r="H387" s="2" t="s">
        <v>24</v>
      </c>
      <c r="I387" s="2" t="s">
        <v>90</v>
      </c>
      <c r="L387" s="2">
        <f>N(correct_ratio_df__2[[#This Row],[correct_ratio]]&gt;0)</f>
        <v>1</v>
      </c>
      <c r="M387" s="2">
        <f>N(correct_ratio_df__2[[#This Row],[correct_ratio]]=1)</f>
        <v>1</v>
      </c>
      <c r="N387" s="2">
        <f>correct_ratio_df__2[[#This Row],[calc available]]-correct_ratio_df__2[[#This Row],[clac stable]]</f>
        <v>0</v>
      </c>
    </row>
    <row r="388" spans="1:14" x14ac:dyDescent="0.2">
      <c r="A388">
        <v>386</v>
      </c>
      <c r="B388" s="2" t="s">
        <v>67</v>
      </c>
      <c r="C388" s="2" t="s">
        <v>9</v>
      </c>
      <c r="D388" s="2" t="s">
        <v>17</v>
      </c>
      <c r="E388" s="2" t="s">
        <v>21</v>
      </c>
      <c r="F388" s="2" t="s">
        <v>83</v>
      </c>
      <c r="G388">
        <v>1</v>
      </c>
      <c r="H388" s="2" t="s">
        <v>24</v>
      </c>
      <c r="I388" s="2" t="s">
        <v>90</v>
      </c>
      <c r="L388" s="2">
        <f>N(correct_ratio_df__2[[#This Row],[correct_ratio]]&gt;0)</f>
        <v>1</v>
      </c>
      <c r="M388" s="2">
        <f>N(correct_ratio_df__2[[#This Row],[correct_ratio]]=1)</f>
        <v>1</v>
      </c>
      <c r="N388" s="2">
        <f>correct_ratio_df__2[[#This Row],[calc available]]-correct_ratio_df__2[[#This Row],[clac stable]]</f>
        <v>0</v>
      </c>
    </row>
    <row r="389" spans="1:14" x14ac:dyDescent="0.2">
      <c r="A389">
        <v>387</v>
      </c>
      <c r="B389" s="2" t="s">
        <v>68</v>
      </c>
      <c r="C389" s="2" t="s">
        <v>14</v>
      </c>
      <c r="D389" s="2" t="s">
        <v>17</v>
      </c>
      <c r="E389" s="2" t="s">
        <v>15</v>
      </c>
      <c r="F389" s="2" t="s">
        <v>83</v>
      </c>
      <c r="G389">
        <v>1</v>
      </c>
      <c r="H389" s="2" t="s">
        <v>24</v>
      </c>
      <c r="I389" s="2" t="s">
        <v>90</v>
      </c>
      <c r="L389" s="2">
        <f>N(correct_ratio_df__2[[#This Row],[correct_ratio]]&gt;0)</f>
        <v>1</v>
      </c>
      <c r="M389" s="2">
        <f>N(correct_ratio_df__2[[#This Row],[correct_ratio]]=1)</f>
        <v>1</v>
      </c>
      <c r="N389" s="2">
        <f>correct_ratio_df__2[[#This Row],[calc available]]-correct_ratio_df__2[[#This Row],[clac stable]]</f>
        <v>0</v>
      </c>
    </row>
    <row r="390" spans="1:14" x14ac:dyDescent="0.2">
      <c r="A390">
        <v>388</v>
      </c>
      <c r="B390" s="2" t="s">
        <v>69</v>
      </c>
      <c r="C390" s="2" t="s">
        <v>22</v>
      </c>
      <c r="D390" s="2" t="s">
        <v>17</v>
      </c>
      <c r="E390" s="2" t="s">
        <v>11</v>
      </c>
      <c r="F390" s="2" t="s">
        <v>83</v>
      </c>
      <c r="G390">
        <v>1</v>
      </c>
      <c r="H390" s="2" t="s">
        <v>24</v>
      </c>
      <c r="I390" s="2" t="s">
        <v>90</v>
      </c>
      <c r="L390" s="2">
        <f>N(correct_ratio_df__2[[#This Row],[correct_ratio]]&gt;0)</f>
        <v>1</v>
      </c>
      <c r="M390" s="2">
        <f>N(correct_ratio_df__2[[#This Row],[correct_ratio]]=1)</f>
        <v>1</v>
      </c>
      <c r="N390" s="2">
        <f>correct_ratio_df__2[[#This Row],[calc available]]-correct_ratio_df__2[[#This Row],[clac stable]]</f>
        <v>0</v>
      </c>
    </row>
    <row r="391" spans="1:14" x14ac:dyDescent="0.2">
      <c r="A391">
        <v>389</v>
      </c>
      <c r="B391" s="2" t="s">
        <v>70</v>
      </c>
      <c r="C391" s="2" t="s">
        <v>9</v>
      </c>
      <c r="D391" s="2" t="s">
        <v>17</v>
      </c>
      <c r="E391" s="2" t="s">
        <v>15</v>
      </c>
      <c r="F391" s="2" t="s">
        <v>83</v>
      </c>
      <c r="G391">
        <v>1</v>
      </c>
      <c r="H391" s="2" t="s">
        <v>24</v>
      </c>
      <c r="I391" s="2" t="s">
        <v>90</v>
      </c>
      <c r="L391" s="2">
        <f>N(correct_ratio_df__2[[#This Row],[correct_ratio]]&gt;0)</f>
        <v>1</v>
      </c>
      <c r="M391" s="2">
        <f>N(correct_ratio_df__2[[#This Row],[correct_ratio]]=1)</f>
        <v>1</v>
      </c>
      <c r="N391" s="2">
        <f>correct_ratio_df__2[[#This Row],[calc available]]-correct_ratio_df__2[[#This Row],[clac stable]]</f>
        <v>0</v>
      </c>
    </row>
    <row r="392" spans="1:14" x14ac:dyDescent="0.2">
      <c r="A392">
        <v>390</v>
      </c>
      <c r="B392" s="2" t="s">
        <v>71</v>
      </c>
      <c r="C392" s="2" t="s">
        <v>9</v>
      </c>
      <c r="D392" s="2" t="s">
        <v>17</v>
      </c>
      <c r="E392" s="2" t="s">
        <v>21</v>
      </c>
      <c r="F392" s="2" t="s">
        <v>83</v>
      </c>
      <c r="G392">
        <v>1</v>
      </c>
      <c r="H392" s="2" t="s">
        <v>24</v>
      </c>
      <c r="I392" s="2" t="s">
        <v>90</v>
      </c>
      <c r="L392" s="2">
        <f>N(correct_ratio_df__2[[#This Row],[correct_ratio]]&gt;0)</f>
        <v>1</v>
      </c>
      <c r="M392" s="2">
        <f>N(correct_ratio_df__2[[#This Row],[correct_ratio]]=1)</f>
        <v>1</v>
      </c>
      <c r="N392" s="2">
        <f>correct_ratio_df__2[[#This Row],[calc available]]-correct_ratio_df__2[[#This Row],[clac stable]]</f>
        <v>0</v>
      </c>
    </row>
    <row r="393" spans="1:14" x14ac:dyDescent="0.2">
      <c r="A393">
        <v>391</v>
      </c>
      <c r="B393" s="2" t="s">
        <v>72</v>
      </c>
      <c r="C393" s="2" t="s">
        <v>19</v>
      </c>
      <c r="D393" s="2" t="s">
        <v>17</v>
      </c>
      <c r="E393" s="2" t="s">
        <v>11</v>
      </c>
      <c r="F393" s="2" t="s">
        <v>83</v>
      </c>
      <c r="G393">
        <v>1</v>
      </c>
      <c r="H393" s="2" t="s">
        <v>24</v>
      </c>
      <c r="I393" s="2" t="s">
        <v>90</v>
      </c>
      <c r="L393" s="2">
        <f>N(correct_ratio_df__2[[#This Row],[correct_ratio]]&gt;0)</f>
        <v>1</v>
      </c>
      <c r="M393" s="2">
        <f>N(correct_ratio_df__2[[#This Row],[correct_ratio]]=1)</f>
        <v>1</v>
      </c>
      <c r="N393" s="2">
        <f>correct_ratio_df__2[[#This Row],[calc available]]-correct_ratio_df__2[[#This Row],[clac stable]]</f>
        <v>0</v>
      </c>
    </row>
    <row r="394" spans="1:14" x14ac:dyDescent="0.2">
      <c r="A394">
        <v>392</v>
      </c>
      <c r="B394" s="2" t="s">
        <v>73</v>
      </c>
      <c r="C394" s="2" t="s">
        <v>16</v>
      </c>
      <c r="D394" s="2" t="s">
        <v>17</v>
      </c>
      <c r="E394" s="2" t="s">
        <v>11</v>
      </c>
      <c r="F394" s="2" t="s">
        <v>83</v>
      </c>
      <c r="G394">
        <v>1</v>
      </c>
      <c r="H394" s="2" t="s">
        <v>24</v>
      </c>
      <c r="I394" s="2" t="s">
        <v>90</v>
      </c>
      <c r="L394" s="2">
        <f>N(correct_ratio_df__2[[#This Row],[correct_ratio]]&gt;0)</f>
        <v>1</v>
      </c>
      <c r="M394" s="2">
        <f>N(correct_ratio_df__2[[#This Row],[correct_ratio]]=1)</f>
        <v>1</v>
      </c>
      <c r="N394" s="2">
        <f>correct_ratio_df__2[[#This Row],[calc available]]-correct_ratio_df__2[[#This Row],[clac stable]]</f>
        <v>0</v>
      </c>
    </row>
    <row r="395" spans="1:14" x14ac:dyDescent="0.2">
      <c r="A395">
        <v>393</v>
      </c>
      <c r="B395" s="2" t="s">
        <v>74</v>
      </c>
      <c r="C395" s="2" t="s">
        <v>22</v>
      </c>
      <c r="D395" s="2" t="s">
        <v>17</v>
      </c>
      <c r="E395" s="2" t="s">
        <v>21</v>
      </c>
      <c r="F395" s="2" t="s">
        <v>83</v>
      </c>
      <c r="G395">
        <v>1</v>
      </c>
      <c r="H395" s="2" t="s">
        <v>24</v>
      </c>
      <c r="I395" s="2" t="s">
        <v>90</v>
      </c>
      <c r="L395" s="2">
        <f>N(correct_ratio_df__2[[#This Row],[correct_ratio]]&gt;0)</f>
        <v>1</v>
      </c>
      <c r="M395" s="2">
        <f>N(correct_ratio_df__2[[#This Row],[correct_ratio]]=1)</f>
        <v>1</v>
      </c>
      <c r="N395" s="2">
        <f>correct_ratio_df__2[[#This Row],[calc available]]-correct_ratio_df__2[[#This Row],[clac stable]]</f>
        <v>0</v>
      </c>
    </row>
    <row r="396" spans="1:14" x14ac:dyDescent="0.2">
      <c r="A396">
        <v>394</v>
      </c>
      <c r="B396" s="2" t="s">
        <v>75</v>
      </c>
      <c r="C396" s="2" t="s">
        <v>14</v>
      </c>
      <c r="D396" s="2" t="s">
        <v>17</v>
      </c>
      <c r="E396" s="2" t="s">
        <v>21</v>
      </c>
      <c r="F396" s="2" t="s">
        <v>83</v>
      </c>
      <c r="G396">
        <v>1</v>
      </c>
      <c r="H396" s="2" t="s">
        <v>24</v>
      </c>
      <c r="I396" s="2" t="s">
        <v>90</v>
      </c>
      <c r="L396" s="2">
        <f>N(correct_ratio_df__2[[#This Row],[correct_ratio]]&gt;0)</f>
        <v>1</v>
      </c>
      <c r="M396" s="2">
        <f>N(correct_ratio_df__2[[#This Row],[correct_ratio]]=1)</f>
        <v>1</v>
      </c>
      <c r="N396" s="2">
        <f>correct_ratio_df__2[[#This Row],[calc available]]-correct_ratio_df__2[[#This Row],[clac stable]]</f>
        <v>0</v>
      </c>
    </row>
    <row r="397" spans="1:14" x14ac:dyDescent="0.2">
      <c r="A397">
        <v>395</v>
      </c>
      <c r="B397" s="2" t="s">
        <v>76</v>
      </c>
      <c r="C397" s="2" t="s">
        <v>14</v>
      </c>
      <c r="D397" s="2" t="s">
        <v>10</v>
      </c>
      <c r="E397" s="2" t="s">
        <v>21</v>
      </c>
      <c r="F397" s="2" t="s">
        <v>83</v>
      </c>
      <c r="G397">
        <v>1</v>
      </c>
      <c r="H397" s="2" t="s">
        <v>24</v>
      </c>
      <c r="I397" s="2" t="s">
        <v>90</v>
      </c>
      <c r="L397" s="2">
        <f>N(correct_ratio_df__2[[#This Row],[correct_ratio]]&gt;0)</f>
        <v>1</v>
      </c>
      <c r="M397" s="2">
        <f>N(correct_ratio_df__2[[#This Row],[correct_ratio]]=1)</f>
        <v>1</v>
      </c>
      <c r="N397" s="2">
        <f>correct_ratio_df__2[[#This Row],[calc available]]-correct_ratio_df__2[[#This Row],[clac stable]]</f>
        <v>0</v>
      </c>
    </row>
    <row r="398" spans="1:14" x14ac:dyDescent="0.2">
      <c r="A398">
        <v>396</v>
      </c>
      <c r="B398" s="2" t="s">
        <v>77</v>
      </c>
      <c r="C398" s="2" t="s">
        <v>9</v>
      </c>
      <c r="D398" s="2" t="s">
        <v>17</v>
      </c>
      <c r="E398" s="2" t="s">
        <v>15</v>
      </c>
      <c r="F398" s="2" t="s">
        <v>83</v>
      </c>
      <c r="G398">
        <v>0</v>
      </c>
      <c r="H398" s="2" t="s">
        <v>24</v>
      </c>
      <c r="I398" s="2" t="s">
        <v>90</v>
      </c>
      <c r="L398" s="2">
        <f>N(correct_ratio_df__2[[#This Row],[correct_ratio]]&gt;0)</f>
        <v>0</v>
      </c>
      <c r="M398" s="2">
        <f>N(correct_ratio_df__2[[#This Row],[correct_ratio]]=1)</f>
        <v>0</v>
      </c>
      <c r="N398" s="2">
        <f>correct_ratio_df__2[[#This Row],[calc available]]-correct_ratio_df__2[[#This Row],[clac stable]]</f>
        <v>0</v>
      </c>
    </row>
    <row r="399" spans="1:14" x14ac:dyDescent="0.2">
      <c r="A399">
        <v>397</v>
      </c>
      <c r="B399" s="2" t="s">
        <v>78</v>
      </c>
      <c r="C399" s="2" t="s">
        <v>9</v>
      </c>
      <c r="D399" s="2" t="s">
        <v>17</v>
      </c>
      <c r="E399" s="2" t="s">
        <v>21</v>
      </c>
      <c r="F399" s="2" t="s">
        <v>83</v>
      </c>
      <c r="G399">
        <v>1</v>
      </c>
      <c r="H399" s="2" t="s">
        <v>24</v>
      </c>
      <c r="I399" s="2" t="s">
        <v>90</v>
      </c>
      <c r="L399" s="2">
        <f>N(correct_ratio_df__2[[#This Row],[correct_ratio]]&gt;0)</f>
        <v>1</v>
      </c>
      <c r="M399" s="2">
        <f>N(correct_ratio_df__2[[#This Row],[correct_ratio]]=1)</f>
        <v>1</v>
      </c>
      <c r="N399" s="2">
        <f>correct_ratio_df__2[[#This Row],[calc available]]-correct_ratio_df__2[[#This Row],[clac stable]]</f>
        <v>0</v>
      </c>
    </row>
    <row r="400" spans="1:14" x14ac:dyDescent="0.2">
      <c r="A400">
        <v>398</v>
      </c>
      <c r="B400" s="2" t="s">
        <v>79</v>
      </c>
      <c r="C400" s="2" t="s">
        <v>14</v>
      </c>
      <c r="D400" s="2" t="s">
        <v>17</v>
      </c>
      <c r="E400" s="2" t="s">
        <v>11</v>
      </c>
      <c r="F400" s="2" t="s">
        <v>83</v>
      </c>
      <c r="G400">
        <v>1</v>
      </c>
      <c r="H400" s="2" t="s">
        <v>24</v>
      </c>
      <c r="I400" s="2" t="s">
        <v>90</v>
      </c>
      <c r="L400" s="2">
        <f>N(correct_ratio_df__2[[#This Row],[correct_ratio]]&gt;0)</f>
        <v>1</v>
      </c>
      <c r="M400" s="2">
        <f>N(correct_ratio_df__2[[#This Row],[correct_ratio]]=1)</f>
        <v>1</v>
      </c>
      <c r="N400" s="2">
        <f>correct_ratio_df__2[[#This Row],[calc available]]-correct_ratio_df__2[[#This Row],[clac stable]]</f>
        <v>0</v>
      </c>
    </row>
    <row r="401" spans="1:14" x14ac:dyDescent="0.2">
      <c r="A401">
        <v>399</v>
      </c>
      <c r="B401" s="2" t="s">
        <v>80</v>
      </c>
      <c r="C401" s="2" t="s">
        <v>22</v>
      </c>
      <c r="D401" s="2" t="s">
        <v>20</v>
      </c>
      <c r="E401" s="2" t="s">
        <v>11</v>
      </c>
      <c r="F401" s="2" t="s">
        <v>83</v>
      </c>
      <c r="G401">
        <v>0</v>
      </c>
      <c r="H401" s="2" t="s">
        <v>24</v>
      </c>
      <c r="I401" s="2" t="s">
        <v>90</v>
      </c>
      <c r="L401" s="2">
        <f>N(correct_ratio_df__2[[#This Row],[correct_ratio]]&gt;0)</f>
        <v>0</v>
      </c>
      <c r="M401" s="2">
        <f>N(correct_ratio_df__2[[#This Row],[correct_ratio]]=1)</f>
        <v>0</v>
      </c>
      <c r="N401" s="2">
        <f>correct_ratio_df__2[[#This Row],[calc available]]-correct_ratio_df__2[[#This Row],[clac stable]]</f>
        <v>0</v>
      </c>
    </row>
    <row r="402" spans="1:14" x14ac:dyDescent="0.2">
      <c r="A402">
        <v>400</v>
      </c>
      <c r="B402" s="2" t="s">
        <v>41</v>
      </c>
      <c r="C402" s="2" t="s">
        <v>9</v>
      </c>
      <c r="D402" s="2" t="s">
        <v>10</v>
      </c>
      <c r="E402" s="2" t="s">
        <v>11</v>
      </c>
      <c r="F402" s="2" t="s">
        <v>31</v>
      </c>
      <c r="G402">
        <v>1</v>
      </c>
      <c r="H402" s="2" t="s">
        <v>30</v>
      </c>
      <c r="I402" s="2" t="s">
        <v>87</v>
      </c>
      <c r="L402" s="2">
        <f>N(correct_ratio_df__2[[#This Row],[correct_ratio]]&gt;0)</f>
        <v>1</v>
      </c>
      <c r="M402" s="2">
        <f>N(correct_ratio_df__2[[#This Row],[correct_ratio]]=1)</f>
        <v>1</v>
      </c>
      <c r="N402" s="2">
        <f>correct_ratio_df__2[[#This Row],[calc available]]-correct_ratio_df__2[[#This Row],[clac stable]]</f>
        <v>0</v>
      </c>
    </row>
    <row r="403" spans="1:14" x14ac:dyDescent="0.2">
      <c r="A403">
        <v>401</v>
      </c>
      <c r="B403" s="2" t="s">
        <v>42</v>
      </c>
      <c r="C403" s="2" t="s">
        <v>14</v>
      </c>
      <c r="D403" s="2" t="s">
        <v>10</v>
      </c>
      <c r="E403" s="2" t="s">
        <v>15</v>
      </c>
      <c r="F403" s="2" t="s">
        <v>31</v>
      </c>
      <c r="G403">
        <v>1</v>
      </c>
      <c r="H403" s="2" t="s">
        <v>30</v>
      </c>
      <c r="I403" s="2" t="s">
        <v>87</v>
      </c>
      <c r="L403" s="2">
        <f>N(correct_ratio_df__2[[#This Row],[correct_ratio]]&gt;0)</f>
        <v>1</v>
      </c>
      <c r="M403" s="2">
        <f>N(correct_ratio_df__2[[#This Row],[correct_ratio]]=1)</f>
        <v>1</v>
      </c>
      <c r="N403" s="2">
        <f>correct_ratio_df__2[[#This Row],[calc available]]-correct_ratio_df__2[[#This Row],[clac stable]]</f>
        <v>0</v>
      </c>
    </row>
    <row r="404" spans="1:14" x14ac:dyDescent="0.2">
      <c r="A404">
        <v>402</v>
      </c>
      <c r="B404" s="2" t="s">
        <v>43</v>
      </c>
      <c r="C404" s="2" t="s">
        <v>16</v>
      </c>
      <c r="D404" s="2" t="s">
        <v>17</v>
      </c>
      <c r="E404" s="2" t="s">
        <v>11</v>
      </c>
      <c r="F404" s="2" t="s">
        <v>31</v>
      </c>
      <c r="G404">
        <v>1</v>
      </c>
      <c r="H404" s="2" t="s">
        <v>30</v>
      </c>
      <c r="I404" s="2" t="s">
        <v>87</v>
      </c>
      <c r="L404" s="2">
        <f>N(correct_ratio_df__2[[#This Row],[correct_ratio]]&gt;0)</f>
        <v>1</v>
      </c>
      <c r="M404" s="2">
        <f>N(correct_ratio_df__2[[#This Row],[correct_ratio]]=1)</f>
        <v>1</v>
      </c>
      <c r="N404" s="2">
        <f>correct_ratio_df__2[[#This Row],[calc available]]-correct_ratio_df__2[[#This Row],[clac stable]]</f>
        <v>0</v>
      </c>
    </row>
    <row r="405" spans="1:14" x14ac:dyDescent="0.2">
      <c r="A405">
        <v>403</v>
      </c>
      <c r="B405" s="2" t="s">
        <v>44</v>
      </c>
      <c r="C405" s="2" t="s">
        <v>16</v>
      </c>
      <c r="D405" s="2" t="s">
        <v>10</v>
      </c>
      <c r="E405" s="2" t="s">
        <v>15</v>
      </c>
      <c r="F405" s="2" t="s">
        <v>31</v>
      </c>
      <c r="G405">
        <v>1</v>
      </c>
      <c r="H405" s="2" t="s">
        <v>30</v>
      </c>
      <c r="I405" s="2" t="s">
        <v>87</v>
      </c>
      <c r="L405" s="2">
        <f>N(correct_ratio_df__2[[#This Row],[correct_ratio]]&gt;0)</f>
        <v>1</v>
      </c>
      <c r="M405" s="2">
        <f>N(correct_ratio_df__2[[#This Row],[correct_ratio]]=1)</f>
        <v>1</v>
      </c>
      <c r="N405" s="2">
        <f>correct_ratio_df__2[[#This Row],[calc available]]-correct_ratio_df__2[[#This Row],[clac stable]]</f>
        <v>0</v>
      </c>
    </row>
    <row r="406" spans="1:14" x14ac:dyDescent="0.2">
      <c r="A406">
        <v>404</v>
      </c>
      <c r="B406" s="2" t="s">
        <v>45</v>
      </c>
      <c r="C406" s="2" t="s">
        <v>14</v>
      </c>
      <c r="D406" s="2" t="s">
        <v>18</v>
      </c>
      <c r="E406" s="2" t="s">
        <v>15</v>
      </c>
      <c r="F406" s="2" t="s">
        <v>31</v>
      </c>
      <c r="G406">
        <v>1</v>
      </c>
      <c r="H406" s="2" t="s">
        <v>30</v>
      </c>
      <c r="I406" s="2" t="s">
        <v>87</v>
      </c>
      <c r="L406" s="2">
        <f>N(correct_ratio_df__2[[#This Row],[correct_ratio]]&gt;0)</f>
        <v>1</v>
      </c>
      <c r="M406" s="2">
        <f>N(correct_ratio_df__2[[#This Row],[correct_ratio]]=1)</f>
        <v>1</v>
      </c>
      <c r="N406" s="2">
        <f>correct_ratio_df__2[[#This Row],[calc available]]-correct_ratio_df__2[[#This Row],[clac stable]]</f>
        <v>0</v>
      </c>
    </row>
    <row r="407" spans="1:14" x14ac:dyDescent="0.2">
      <c r="A407">
        <v>405</v>
      </c>
      <c r="B407" s="2" t="s">
        <v>46</v>
      </c>
      <c r="C407" s="2" t="s">
        <v>14</v>
      </c>
      <c r="D407" s="2" t="s">
        <v>10</v>
      </c>
      <c r="E407" s="2" t="s">
        <v>15</v>
      </c>
      <c r="F407" s="2" t="s">
        <v>31</v>
      </c>
      <c r="G407">
        <v>1</v>
      </c>
      <c r="H407" s="2" t="s">
        <v>30</v>
      </c>
      <c r="I407" s="2" t="s">
        <v>87</v>
      </c>
      <c r="L407" s="2">
        <f>N(correct_ratio_df__2[[#This Row],[correct_ratio]]&gt;0)</f>
        <v>1</v>
      </c>
      <c r="M407" s="2">
        <f>N(correct_ratio_df__2[[#This Row],[correct_ratio]]=1)</f>
        <v>1</v>
      </c>
      <c r="N407" s="2">
        <f>correct_ratio_df__2[[#This Row],[calc available]]-correct_ratio_df__2[[#This Row],[clac stable]]</f>
        <v>0</v>
      </c>
    </row>
    <row r="408" spans="1:14" x14ac:dyDescent="0.2">
      <c r="A408">
        <v>406</v>
      </c>
      <c r="B408" s="2" t="s">
        <v>47</v>
      </c>
      <c r="C408" s="2" t="s">
        <v>19</v>
      </c>
      <c r="D408" s="2" t="s">
        <v>10</v>
      </c>
      <c r="E408" s="2" t="s">
        <v>15</v>
      </c>
      <c r="F408" s="2" t="s">
        <v>31</v>
      </c>
      <c r="G408">
        <v>1</v>
      </c>
      <c r="H408" s="2" t="s">
        <v>30</v>
      </c>
      <c r="I408" s="2" t="s">
        <v>87</v>
      </c>
      <c r="L408" s="2">
        <f>N(correct_ratio_df__2[[#This Row],[correct_ratio]]&gt;0)</f>
        <v>1</v>
      </c>
      <c r="M408" s="2">
        <f>N(correct_ratio_df__2[[#This Row],[correct_ratio]]=1)</f>
        <v>1</v>
      </c>
      <c r="N408" s="2">
        <f>correct_ratio_df__2[[#This Row],[calc available]]-correct_ratio_df__2[[#This Row],[clac stable]]</f>
        <v>0</v>
      </c>
    </row>
    <row r="409" spans="1:14" x14ac:dyDescent="0.2">
      <c r="A409">
        <v>407</v>
      </c>
      <c r="B409" s="2" t="s">
        <v>48</v>
      </c>
      <c r="C409" s="2" t="s">
        <v>16</v>
      </c>
      <c r="D409" s="2" t="s">
        <v>20</v>
      </c>
      <c r="E409" s="2" t="s">
        <v>21</v>
      </c>
      <c r="F409" s="2" t="s">
        <v>31</v>
      </c>
      <c r="G409">
        <v>1</v>
      </c>
      <c r="H409" s="2" t="s">
        <v>30</v>
      </c>
      <c r="I409" s="2" t="s">
        <v>87</v>
      </c>
      <c r="L409" s="2">
        <f>N(correct_ratio_df__2[[#This Row],[correct_ratio]]&gt;0)</f>
        <v>1</v>
      </c>
      <c r="M409" s="2">
        <f>N(correct_ratio_df__2[[#This Row],[correct_ratio]]=1)</f>
        <v>1</v>
      </c>
      <c r="N409" s="2">
        <f>correct_ratio_df__2[[#This Row],[calc available]]-correct_ratio_df__2[[#This Row],[clac stable]]</f>
        <v>0</v>
      </c>
    </row>
    <row r="410" spans="1:14" x14ac:dyDescent="0.2">
      <c r="A410">
        <v>408</v>
      </c>
      <c r="B410" s="2" t="s">
        <v>49</v>
      </c>
      <c r="C410" s="2" t="s">
        <v>16</v>
      </c>
      <c r="D410" s="2" t="s">
        <v>10</v>
      </c>
      <c r="E410" s="2" t="s">
        <v>21</v>
      </c>
      <c r="F410" s="2" t="s">
        <v>31</v>
      </c>
      <c r="G410">
        <v>1</v>
      </c>
      <c r="H410" s="2" t="s">
        <v>30</v>
      </c>
      <c r="I410" s="2" t="s">
        <v>87</v>
      </c>
      <c r="L410" s="2">
        <f>N(correct_ratio_df__2[[#This Row],[correct_ratio]]&gt;0)</f>
        <v>1</v>
      </c>
      <c r="M410" s="2">
        <f>N(correct_ratio_df__2[[#This Row],[correct_ratio]]=1)</f>
        <v>1</v>
      </c>
      <c r="N410" s="2">
        <f>correct_ratio_df__2[[#This Row],[calc available]]-correct_ratio_df__2[[#This Row],[clac stable]]</f>
        <v>0</v>
      </c>
    </row>
    <row r="411" spans="1:14" x14ac:dyDescent="0.2">
      <c r="A411">
        <v>409</v>
      </c>
      <c r="B411" s="2" t="s">
        <v>50</v>
      </c>
      <c r="C411" s="2" t="s">
        <v>9</v>
      </c>
      <c r="D411" s="2" t="s">
        <v>17</v>
      </c>
      <c r="E411" s="2" t="s">
        <v>21</v>
      </c>
      <c r="F411" s="2" t="s">
        <v>31</v>
      </c>
      <c r="G411">
        <v>1</v>
      </c>
      <c r="H411" s="2" t="s">
        <v>30</v>
      </c>
      <c r="I411" s="2" t="s">
        <v>87</v>
      </c>
      <c r="L411" s="2">
        <f>N(correct_ratio_df__2[[#This Row],[correct_ratio]]&gt;0)</f>
        <v>1</v>
      </c>
      <c r="M411" s="2">
        <f>N(correct_ratio_df__2[[#This Row],[correct_ratio]]=1)</f>
        <v>1</v>
      </c>
      <c r="N411" s="2">
        <f>correct_ratio_df__2[[#This Row],[calc available]]-correct_ratio_df__2[[#This Row],[clac stable]]</f>
        <v>0</v>
      </c>
    </row>
    <row r="412" spans="1:14" x14ac:dyDescent="0.2">
      <c r="A412">
        <v>410</v>
      </c>
      <c r="B412" s="2" t="s">
        <v>51</v>
      </c>
      <c r="C412" s="2" t="s">
        <v>16</v>
      </c>
      <c r="D412" s="2" t="s">
        <v>17</v>
      </c>
      <c r="E412" s="2" t="s">
        <v>11</v>
      </c>
      <c r="F412" s="2" t="s">
        <v>31</v>
      </c>
      <c r="G412">
        <v>1</v>
      </c>
      <c r="H412" s="2" t="s">
        <v>30</v>
      </c>
      <c r="I412" s="2" t="s">
        <v>87</v>
      </c>
      <c r="L412" s="2">
        <f>N(correct_ratio_df__2[[#This Row],[correct_ratio]]&gt;0)</f>
        <v>1</v>
      </c>
      <c r="M412" s="2">
        <f>N(correct_ratio_df__2[[#This Row],[correct_ratio]]=1)</f>
        <v>1</v>
      </c>
      <c r="N412" s="2">
        <f>correct_ratio_df__2[[#This Row],[calc available]]-correct_ratio_df__2[[#This Row],[clac stable]]</f>
        <v>0</v>
      </c>
    </row>
    <row r="413" spans="1:14" x14ac:dyDescent="0.2">
      <c r="A413">
        <v>411</v>
      </c>
      <c r="B413" s="2" t="s">
        <v>52</v>
      </c>
      <c r="C413" s="2" t="s">
        <v>9</v>
      </c>
      <c r="D413" s="2" t="s">
        <v>17</v>
      </c>
      <c r="E413" s="2" t="s">
        <v>15</v>
      </c>
      <c r="F413" s="2" t="s">
        <v>31</v>
      </c>
      <c r="G413">
        <v>1</v>
      </c>
      <c r="H413" s="2" t="s">
        <v>30</v>
      </c>
      <c r="I413" s="2" t="s">
        <v>87</v>
      </c>
      <c r="L413" s="2">
        <f>N(correct_ratio_df__2[[#This Row],[correct_ratio]]&gt;0)</f>
        <v>1</v>
      </c>
      <c r="M413" s="2">
        <f>N(correct_ratio_df__2[[#This Row],[correct_ratio]]=1)</f>
        <v>1</v>
      </c>
      <c r="N413" s="2">
        <f>correct_ratio_df__2[[#This Row],[calc available]]-correct_ratio_df__2[[#This Row],[clac stable]]</f>
        <v>0</v>
      </c>
    </row>
    <row r="414" spans="1:14" x14ac:dyDescent="0.2">
      <c r="A414">
        <v>412</v>
      </c>
      <c r="B414" s="2" t="s">
        <v>53</v>
      </c>
      <c r="C414" s="2" t="s">
        <v>19</v>
      </c>
      <c r="D414" s="2" t="s">
        <v>17</v>
      </c>
      <c r="E414" s="2" t="s">
        <v>21</v>
      </c>
      <c r="F414" s="2" t="s">
        <v>31</v>
      </c>
      <c r="G414">
        <v>1</v>
      </c>
      <c r="H414" s="2" t="s">
        <v>30</v>
      </c>
      <c r="I414" s="2" t="s">
        <v>87</v>
      </c>
      <c r="L414" s="2">
        <f>N(correct_ratio_df__2[[#This Row],[correct_ratio]]&gt;0)</f>
        <v>1</v>
      </c>
      <c r="M414" s="2">
        <f>N(correct_ratio_df__2[[#This Row],[correct_ratio]]=1)</f>
        <v>1</v>
      </c>
      <c r="N414" s="2">
        <f>correct_ratio_df__2[[#This Row],[calc available]]-correct_ratio_df__2[[#This Row],[clac stable]]</f>
        <v>0</v>
      </c>
    </row>
    <row r="415" spans="1:14" x14ac:dyDescent="0.2">
      <c r="A415">
        <v>413</v>
      </c>
      <c r="B415" s="2" t="s">
        <v>54</v>
      </c>
      <c r="C415" s="2" t="s">
        <v>14</v>
      </c>
      <c r="D415" s="2" t="s">
        <v>17</v>
      </c>
      <c r="E415" s="2" t="s">
        <v>15</v>
      </c>
      <c r="F415" s="2" t="s">
        <v>31</v>
      </c>
      <c r="G415">
        <v>1</v>
      </c>
      <c r="H415" s="2" t="s">
        <v>30</v>
      </c>
      <c r="I415" s="2" t="s">
        <v>87</v>
      </c>
      <c r="L415" s="2">
        <f>N(correct_ratio_df__2[[#This Row],[correct_ratio]]&gt;0)</f>
        <v>1</v>
      </c>
      <c r="M415" s="2">
        <f>N(correct_ratio_df__2[[#This Row],[correct_ratio]]=1)</f>
        <v>1</v>
      </c>
      <c r="N415" s="2">
        <f>correct_ratio_df__2[[#This Row],[calc available]]-correct_ratio_df__2[[#This Row],[clac stable]]</f>
        <v>0</v>
      </c>
    </row>
    <row r="416" spans="1:14" x14ac:dyDescent="0.2">
      <c r="A416">
        <v>414</v>
      </c>
      <c r="B416" s="2" t="s">
        <v>55</v>
      </c>
      <c r="C416" s="2" t="s">
        <v>9</v>
      </c>
      <c r="D416" s="2" t="s">
        <v>18</v>
      </c>
      <c r="E416" s="2" t="s">
        <v>21</v>
      </c>
      <c r="F416" s="2" t="s">
        <v>31</v>
      </c>
      <c r="G416">
        <v>1</v>
      </c>
      <c r="H416" s="2" t="s">
        <v>30</v>
      </c>
      <c r="I416" s="2" t="s">
        <v>87</v>
      </c>
      <c r="L416" s="2">
        <f>N(correct_ratio_df__2[[#This Row],[correct_ratio]]&gt;0)</f>
        <v>1</v>
      </c>
      <c r="M416" s="2">
        <f>N(correct_ratio_df__2[[#This Row],[correct_ratio]]=1)</f>
        <v>1</v>
      </c>
      <c r="N416" s="2">
        <f>correct_ratio_df__2[[#This Row],[calc available]]-correct_ratio_df__2[[#This Row],[clac stable]]</f>
        <v>0</v>
      </c>
    </row>
    <row r="417" spans="1:14" x14ac:dyDescent="0.2">
      <c r="A417">
        <v>415</v>
      </c>
      <c r="B417" s="2" t="s">
        <v>56</v>
      </c>
      <c r="C417" s="2" t="s">
        <v>19</v>
      </c>
      <c r="D417" s="2" t="s">
        <v>17</v>
      </c>
      <c r="E417" s="2" t="s">
        <v>21</v>
      </c>
      <c r="F417" s="2" t="s">
        <v>31</v>
      </c>
      <c r="G417">
        <v>0</v>
      </c>
      <c r="H417" s="2" t="s">
        <v>30</v>
      </c>
      <c r="I417" s="2" t="s">
        <v>87</v>
      </c>
      <c r="L417" s="2">
        <f>N(correct_ratio_df__2[[#This Row],[correct_ratio]]&gt;0)</f>
        <v>0</v>
      </c>
      <c r="M417" s="2">
        <f>N(correct_ratio_df__2[[#This Row],[correct_ratio]]=1)</f>
        <v>0</v>
      </c>
      <c r="N417" s="2">
        <f>correct_ratio_df__2[[#This Row],[calc available]]-correct_ratio_df__2[[#This Row],[clac stable]]</f>
        <v>0</v>
      </c>
    </row>
    <row r="418" spans="1:14" x14ac:dyDescent="0.2">
      <c r="A418">
        <v>416</v>
      </c>
      <c r="B418" s="2" t="s">
        <v>57</v>
      </c>
      <c r="C418" s="2" t="s">
        <v>9</v>
      </c>
      <c r="D418" s="2" t="s">
        <v>17</v>
      </c>
      <c r="E418" s="2" t="s">
        <v>21</v>
      </c>
      <c r="F418" s="2" t="s">
        <v>31</v>
      </c>
      <c r="G418">
        <v>1</v>
      </c>
      <c r="H418" s="2" t="s">
        <v>30</v>
      </c>
      <c r="I418" s="2" t="s">
        <v>87</v>
      </c>
      <c r="L418" s="2">
        <f>N(correct_ratio_df__2[[#This Row],[correct_ratio]]&gt;0)</f>
        <v>1</v>
      </c>
      <c r="M418" s="2">
        <f>N(correct_ratio_df__2[[#This Row],[correct_ratio]]=1)</f>
        <v>1</v>
      </c>
      <c r="N418" s="2">
        <f>correct_ratio_df__2[[#This Row],[calc available]]-correct_ratio_df__2[[#This Row],[clac stable]]</f>
        <v>0</v>
      </c>
    </row>
    <row r="419" spans="1:14" x14ac:dyDescent="0.2">
      <c r="A419">
        <v>417</v>
      </c>
      <c r="B419" s="2" t="s">
        <v>58</v>
      </c>
      <c r="C419" s="2" t="s">
        <v>9</v>
      </c>
      <c r="D419" s="2" t="s">
        <v>17</v>
      </c>
      <c r="E419" s="2" t="s">
        <v>21</v>
      </c>
      <c r="F419" s="2" t="s">
        <v>31</v>
      </c>
      <c r="G419">
        <v>1</v>
      </c>
      <c r="H419" s="2" t="s">
        <v>30</v>
      </c>
      <c r="I419" s="2" t="s">
        <v>87</v>
      </c>
      <c r="L419" s="2">
        <f>N(correct_ratio_df__2[[#This Row],[correct_ratio]]&gt;0)</f>
        <v>1</v>
      </c>
      <c r="M419" s="2">
        <f>N(correct_ratio_df__2[[#This Row],[correct_ratio]]=1)</f>
        <v>1</v>
      </c>
      <c r="N419" s="2">
        <f>correct_ratio_df__2[[#This Row],[calc available]]-correct_ratio_df__2[[#This Row],[clac stable]]</f>
        <v>0</v>
      </c>
    </row>
    <row r="420" spans="1:14" x14ac:dyDescent="0.2">
      <c r="A420">
        <v>418</v>
      </c>
      <c r="B420" s="2" t="s">
        <v>59</v>
      </c>
      <c r="C420" s="2" t="s">
        <v>19</v>
      </c>
      <c r="D420" s="2" t="s">
        <v>17</v>
      </c>
      <c r="E420" s="2" t="s">
        <v>15</v>
      </c>
      <c r="F420" s="2" t="s">
        <v>31</v>
      </c>
      <c r="G420">
        <v>1</v>
      </c>
      <c r="H420" s="2" t="s">
        <v>30</v>
      </c>
      <c r="I420" s="2" t="s">
        <v>87</v>
      </c>
      <c r="L420" s="2">
        <f>N(correct_ratio_df__2[[#This Row],[correct_ratio]]&gt;0)</f>
        <v>1</v>
      </c>
      <c r="M420" s="2">
        <f>N(correct_ratio_df__2[[#This Row],[correct_ratio]]=1)</f>
        <v>1</v>
      </c>
      <c r="N420" s="2">
        <f>correct_ratio_df__2[[#This Row],[calc available]]-correct_ratio_df__2[[#This Row],[clac stable]]</f>
        <v>0</v>
      </c>
    </row>
    <row r="421" spans="1:14" x14ac:dyDescent="0.2">
      <c r="A421">
        <v>419</v>
      </c>
      <c r="B421" s="2" t="s">
        <v>60</v>
      </c>
      <c r="C421" s="2" t="s">
        <v>9</v>
      </c>
      <c r="D421" s="2" t="s">
        <v>17</v>
      </c>
      <c r="E421" s="2" t="s">
        <v>21</v>
      </c>
      <c r="F421" s="2" t="s">
        <v>31</v>
      </c>
      <c r="G421">
        <v>0</v>
      </c>
      <c r="H421" s="2" t="s">
        <v>30</v>
      </c>
      <c r="I421" s="2" t="s">
        <v>87</v>
      </c>
      <c r="L421" s="2">
        <f>N(correct_ratio_df__2[[#This Row],[correct_ratio]]&gt;0)</f>
        <v>0</v>
      </c>
      <c r="M421" s="2">
        <f>N(correct_ratio_df__2[[#This Row],[correct_ratio]]=1)</f>
        <v>0</v>
      </c>
      <c r="N421" s="2">
        <f>correct_ratio_df__2[[#This Row],[calc available]]-correct_ratio_df__2[[#This Row],[clac stable]]</f>
        <v>0</v>
      </c>
    </row>
    <row r="422" spans="1:14" x14ac:dyDescent="0.2">
      <c r="A422">
        <v>420</v>
      </c>
      <c r="B422" s="2" t="s">
        <v>61</v>
      </c>
      <c r="C422" s="2" t="s">
        <v>14</v>
      </c>
      <c r="D422" s="2" t="s">
        <v>10</v>
      </c>
      <c r="E422" s="2" t="s">
        <v>11</v>
      </c>
      <c r="F422" s="2" t="s">
        <v>31</v>
      </c>
      <c r="G422">
        <v>1</v>
      </c>
      <c r="H422" s="2" t="s">
        <v>30</v>
      </c>
      <c r="I422" s="2" t="s">
        <v>87</v>
      </c>
      <c r="L422" s="2">
        <f>N(correct_ratio_df__2[[#This Row],[correct_ratio]]&gt;0)</f>
        <v>1</v>
      </c>
      <c r="M422" s="2">
        <f>N(correct_ratio_df__2[[#This Row],[correct_ratio]]=1)</f>
        <v>1</v>
      </c>
      <c r="N422" s="2">
        <f>correct_ratio_df__2[[#This Row],[calc available]]-correct_ratio_df__2[[#This Row],[clac stable]]</f>
        <v>0</v>
      </c>
    </row>
    <row r="423" spans="1:14" x14ac:dyDescent="0.2">
      <c r="A423">
        <v>421</v>
      </c>
      <c r="B423" s="2" t="s">
        <v>62</v>
      </c>
      <c r="C423" s="2" t="s">
        <v>16</v>
      </c>
      <c r="D423" s="2" t="s">
        <v>18</v>
      </c>
      <c r="E423" s="2" t="s">
        <v>11</v>
      </c>
      <c r="F423" s="2" t="s">
        <v>31</v>
      </c>
      <c r="G423">
        <v>1</v>
      </c>
      <c r="H423" s="2" t="s">
        <v>30</v>
      </c>
      <c r="I423" s="2" t="s">
        <v>87</v>
      </c>
      <c r="L423" s="2">
        <f>N(correct_ratio_df__2[[#This Row],[correct_ratio]]&gt;0)</f>
        <v>1</v>
      </c>
      <c r="M423" s="2">
        <f>N(correct_ratio_df__2[[#This Row],[correct_ratio]]=1)</f>
        <v>1</v>
      </c>
      <c r="N423" s="2">
        <f>correct_ratio_df__2[[#This Row],[calc available]]-correct_ratio_df__2[[#This Row],[clac stable]]</f>
        <v>0</v>
      </c>
    </row>
    <row r="424" spans="1:14" x14ac:dyDescent="0.2">
      <c r="A424">
        <v>422</v>
      </c>
      <c r="B424" s="2" t="s">
        <v>63</v>
      </c>
      <c r="C424" s="2" t="s">
        <v>9</v>
      </c>
      <c r="D424" s="2" t="s">
        <v>20</v>
      </c>
      <c r="E424" s="2" t="s">
        <v>15</v>
      </c>
      <c r="F424" s="2" t="s">
        <v>31</v>
      </c>
      <c r="G424">
        <v>0.33333333333333331</v>
      </c>
      <c r="H424" s="2" t="s">
        <v>30</v>
      </c>
      <c r="I424" s="2" t="s">
        <v>87</v>
      </c>
      <c r="L424" s="2">
        <f>N(correct_ratio_df__2[[#This Row],[correct_ratio]]&gt;0)</f>
        <v>1</v>
      </c>
      <c r="M424" s="2">
        <f>N(correct_ratio_df__2[[#This Row],[correct_ratio]]=1)</f>
        <v>0</v>
      </c>
      <c r="N424" s="2">
        <f>correct_ratio_df__2[[#This Row],[calc available]]-correct_ratio_df__2[[#This Row],[clac stable]]</f>
        <v>1</v>
      </c>
    </row>
    <row r="425" spans="1:14" x14ac:dyDescent="0.2">
      <c r="A425">
        <v>423</v>
      </c>
      <c r="B425" s="2" t="s">
        <v>64</v>
      </c>
      <c r="C425" s="2" t="s">
        <v>14</v>
      </c>
      <c r="D425" s="2" t="s">
        <v>17</v>
      </c>
      <c r="E425" s="2" t="s">
        <v>11</v>
      </c>
      <c r="F425" s="2" t="s">
        <v>31</v>
      </c>
      <c r="G425">
        <v>1</v>
      </c>
      <c r="H425" s="2" t="s">
        <v>30</v>
      </c>
      <c r="I425" s="2" t="s">
        <v>87</v>
      </c>
      <c r="L425" s="2">
        <f>N(correct_ratio_df__2[[#This Row],[correct_ratio]]&gt;0)</f>
        <v>1</v>
      </c>
      <c r="M425" s="2">
        <f>N(correct_ratio_df__2[[#This Row],[correct_ratio]]=1)</f>
        <v>1</v>
      </c>
      <c r="N425" s="2">
        <f>correct_ratio_df__2[[#This Row],[calc available]]-correct_ratio_df__2[[#This Row],[clac stable]]</f>
        <v>0</v>
      </c>
    </row>
    <row r="426" spans="1:14" x14ac:dyDescent="0.2">
      <c r="A426">
        <v>424</v>
      </c>
      <c r="B426" s="2" t="s">
        <v>65</v>
      </c>
      <c r="C426" s="2" t="s">
        <v>19</v>
      </c>
      <c r="D426" s="2" t="s">
        <v>18</v>
      </c>
      <c r="E426" s="2" t="s">
        <v>21</v>
      </c>
      <c r="F426" s="2" t="s">
        <v>31</v>
      </c>
      <c r="G426">
        <v>1</v>
      </c>
      <c r="H426" s="2" t="s">
        <v>30</v>
      </c>
      <c r="I426" s="2" t="s">
        <v>87</v>
      </c>
      <c r="L426" s="2">
        <f>N(correct_ratio_df__2[[#This Row],[correct_ratio]]&gt;0)</f>
        <v>1</v>
      </c>
      <c r="M426" s="2">
        <f>N(correct_ratio_df__2[[#This Row],[correct_ratio]]=1)</f>
        <v>1</v>
      </c>
      <c r="N426" s="2">
        <f>correct_ratio_df__2[[#This Row],[calc available]]-correct_ratio_df__2[[#This Row],[clac stable]]</f>
        <v>0</v>
      </c>
    </row>
    <row r="427" spans="1:14" x14ac:dyDescent="0.2">
      <c r="A427">
        <v>425</v>
      </c>
      <c r="B427" s="2" t="s">
        <v>66</v>
      </c>
      <c r="C427" s="2" t="s">
        <v>14</v>
      </c>
      <c r="D427" s="2" t="s">
        <v>18</v>
      </c>
      <c r="E427" s="2" t="s">
        <v>15</v>
      </c>
      <c r="F427" s="2" t="s">
        <v>31</v>
      </c>
      <c r="G427">
        <v>1</v>
      </c>
      <c r="H427" s="2" t="s">
        <v>30</v>
      </c>
      <c r="I427" s="2" t="s">
        <v>87</v>
      </c>
      <c r="L427" s="2">
        <f>N(correct_ratio_df__2[[#This Row],[correct_ratio]]&gt;0)</f>
        <v>1</v>
      </c>
      <c r="M427" s="2">
        <f>N(correct_ratio_df__2[[#This Row],[correct_ratio]]=1)</f>
        <v>1</v>
      </c>
      <c r="N427" s="2">
        <f>correct_ratio_df__2[[#This Row],[calc available]]-correct_ratio_df__2[[#This Row],[clac stable]]</f>
        <v>0</v>
      </c>
    </row>
    <row r="428" spans="1:14" x14ac:dyDescent="0.2">
      <c r="A428">
        <v>426</v>
      </c>
      <c r="B428" s="2" t="s">
        <v>67</v>
      </c>
      <c r="C428" s="2" t="s">
        <v>9</v>
      </c>
      <c r="D428" s="2" t="s">
        <v>17</v>
      </c>
      <c r="E428" s="2" t="s">
        <v>21</v>
      </c>
      <c r="F428" s="2" t="s">
        <v>31</v>
      </c>
      <c r="G428">
        <v>1</v>
      </c>
      <c r="H428" s="2" t="s">
        <v>30</v>
      </c>
      <c r="I428" s="2" t="s">
        <v>87</v>
      </c>
      <c r="L428" s="2">
        <f>N(correct_ratio_df__2[[#This Row],[correct_ratio]]&gt;0)</f>
        <v>1</v>
      </c>
      <c r="M428" s="2">
        <f>N(correct_ratio_df__2[[#This Row],[correct_ratio]]=1)</f>
        <v>1</v>
      </c>
      <c r="N428" s="2">
        <f>correct_ratio_df__2[[#This Row],[calc available]]-correct_ratio_df__2[[#This Row],[clac stable]]</f>
        <v>0</v>
      </c>
    </row>
    <row r="429" spans="1:14" x14ac:dyDescent="0.2">
      <c r="A429">
        <v>427</v>
      </c>
      <c r="B429" s="2" t="s">
        <v>68</v>
      </c>
      <c r="C429" s="2" t="s">
        <v>14</v>
      </c>
      <c r="D429" s="2" t="s">
        <v>17</v>
      </c>
      <c r="E429" s="2" t="s">
        <v>15</v>
      </c>
      <c r="F429" s="2" t="s">
        <v>31</v>
      </c>
      <c r="G429">
        <v>1</v>
      </c>
      <c r="H429" s="2" t="s">
        <v>30</v>
      </c>
      <c r="I429" s="2" t="s">
        <v>87</v>
      </c>
      <c r="L429" s="2">
        <f>N(correct_ratio_df__2[[#This Row],[correct_ratio]]&gt;0)</f>
        <v>1</v>
      </c>
      <c r="M429" s="2">
        <f>N(correct_ratio_df__2[[#This Row],[correct_ratio]]=1)</f>
        <v>1</v>
      </c>
      <c r="N429" s="2">
        <f>correct_ratio_df__2[[#This Row],[calc available]]-correct_ratio_df__2[[#This Row],[clac stable]]</f>
        <v>0</v>
      </c>
    </row>
    <row r="430" spans="1:14" x14ac:dyDescent="0.2">
      <c r="A430">
        <v>428</v>
      </c>
      <c r="B430" s="2" t="s">
        <v>69</v>
      </c>
      <c r="C430" s="2" t="s">
        <v>22</v>
      </c>
      <c r="D430" s="2" t="s">
        <v>17</v>
      </c>
      <c r="E430" s="2" t="s">
        <v>11</v>
      </c>
      <c r="F430" s="2" t="s">
        <v>31</v>
      </c>
      <c r="G430">
        <v>0</v>
      </c>
      <c r="H430" s="2" t="s">
        <v>30</v>
      </c>
      <c r="I430" s="2" t="s">
        <v>87</v>
      </c>
      <c r="L430" s="2">
        <f>N(correct_ratio_df__2[[#This Row],[correct_ratio]]&gt;0)</f>
        <v>0</v>
      </c>
      <c r="M430" s="2">
        <f>N(correct_ratio_df__2[[#This Row],[correct_ratio]]=1)</f>
        <v>0</v>
      </c>
      <c r="N430" s="2">
        <f>correct_ratio_df__2[[#This Row],[calc available]]-correct_ratio_df__2[[#This Row],[clac stable]]</f>
        <v>0</v>
      </c>
    </row>
    <row r="431" spans="1:14" x14ac:dyDescent="0.2">
      <c r="A431">
        <v>429</v>
      </c>
      <c r="B431" s="2" t="s">
        <v>70</v>
      </c>
      <c r="C431" s="2" t="s">
        <v>9</v>
      </c>
      <c r="D431" s="2" t="s">
        <v>17</v>
      </c>
      <c r="E431" s="2" t="s">
        <v>15</v>
      </c>
      <c r="F431" s="2" t="s">
        <v>31</v>
      </c>
      <c r="G431">
        <v>1</v>
      </c>
      <c r="H431" s="2" t="s">
        <v>30</v>
      </c>
      <c r="I431" s="2" t="s">
        <v>87</v>
      </c>
      <c r="L431" s="2">
        <f>N(correct_ratio_df__2[[#This Row],[correct_ratio]]&gt;0)</f>
        <v>1</v>
      </c>
      <c r="M431" s="2">
        <f>N(correct_ratio_df__2[[#This Row],[correct_ratio]]=1)</f>
        <v>1</v>
      </c>
      <c r="N431" s="2">
        <f>correct_ratio_df__2[[#This Row],[calc available]]-correct_ratio_df__2[[#This Row],[clac stable]]</f>
        <v>0</v>
      </c>
    </row>
    <row r="432" spans="1:14" x14ac:dyDescent="0.2">
      <c r="A432">
        <v>430</v>
      </c>
      <c r="B432" s="2" t="s">
        <v>71</v>
      </c>
      <c r="C432" s="2" t="s">
        <v>9</v>
      </c>
      <c r="D432" s="2" t="s">
        <v>17</v>
      </c>
      <c r="E432" s="2" t="s">
        <v>21</v>
      </c>
      <c r="F432" s="2" t="s">
        <v>31</v>
      </c>
      <c r="G432">
        <v>0</v>
      </c>
      <c r="H432" s="2" t="s">
        <v>30</v>
      </c>
      <c r="I432" s="2" t="s">
        <v>87</v>
      </c>
      <c r="L432" s="2">
        <f>N(correct_ratio_df__2[[#This Row],[correct_ratio]]&gt;0)</f>
        <v>0</v>
      </c>
      <c r="M432" s="2">
        <f>N(correct_ratio_df__2[[#This Row],[correct_ratio]]=1)</f>
        <v>0</v>
      </c>
      <c r="N432" s="2">
        <f>correct_ratio_df__2[[#This Row],[calc available]]-correct_ratio_df__2[[#This Row],[clac stable]]</f>
        <v>0</v>
      </c>
    </row>
    <row r="433" spans="1:14" x14ac:dyDescent="0.2">
      <c r="A433">
        <v>431</v>
      </c>
      <c r="B433" s="2" t="s">
        <v>72</v>
      </c>
      <c r="C433" s="2" t="s">
        <v>19</v>
      </c>
      <c r="D433" s="2" t="s">
        <v>17</v>
      </c>
      <c r="E433" s="2" t="s">
        <v>11</v>
      </c>
      <c r="F433" s="2" t="s">
        <v>31</v>
      </c>
      <c r="G433">
        <v>1</v>
      </c>
      <c r="H433" s="2" t="s">
        <v>30</v>
      </c>
      <c r="I433" s="2" t="s">
        <v>87</v>
      </c>
      <c r="L433" s="2">
        <f>N(correct_ratio_df__2[[#This Row],[correct_ratio]]&gt;0)</f>
        <v>1</v>
      </c>
      <c r="M433" s="2">
        <f>N(correct_ratio_df__2[[#This Row],[correct_ratio]]=1)</f>
        <v>1</v>
      </c>
      <c r="N433" s="2">
        <f>correct_ratio_df__2[[#This Row],[calc available]]-correct_ratio_df__2[[#This Row],[clac stable]]</f>
        <v>0</v>
      </c>
    </row>
    <row r="434" spans="1:14" x14ac:dyDescent="0.2">
      <c r="A434">
        <v>432</v>
      </c>
      <c r="B434" s="2" t="s">
        <v>73</v>
      </c>
      <c r="C434" s="2" t="s">
        <v>16</v>
      </c>
      <c r="D434" s="2" t="s">
        <v>17</v>
      </c>
      <c r="E434" s="2" t="s">
        <v>11</v>
      </c>
      <c r="F434" s="2" t="s">
        <v>31</v>
      </c>
      <c r="G434">
        <v>1</v>
      </c>
      <c r="H434" s="2" t="s">
        <v>30</v>
      </c>
      <c r="I434" s="2" t="s">
        <v>87</v>
      </c>
      <c r="L434" s="2">
        <f>N(correct_ratio_df__2[[#This Row],[correct_ratio]]&gt;0)</f>
        <v>1</v>
      </c>
      <c r="M434" s="2">
        <f>N(correct_ratio_df__2[[#This Row],[correct_ratio]]=1)</f>
        <v>1</v>
      </c>
      <c r="N434" s="2">
        <f>correct_ratio_df__2[[#This Row],[calc available]]-correct_ratio_df__2[[#This Row],[clac stable]]</f>
        <v>0</v>
      </c>
    </row>
    <row r="435" spans="1:14" x14ac:dyDescent="0.2">
      <c r="A435">
        <v>433</v>
      </c>
      <c r="B435" s="2" t="s">
        <v>74</v>
      </c>
      <c r="C435" s="2" t="s">
        <v>22</v>
      </c>
      <c r="D435" s="2" t="s">
        <v>17</v>
      </c>
      <c r="E435" s="2" t="s">
        <v>21</v>
      </c>
      <c r="F435" s="2" t="s">
        <v>31</v>
      </c>
      <c r="G435">
        <v>1</v>
      </c>
      <c r="H435" s="2" t="s">
        <v>30</v>
      </c>
      <c r="I435" s="2" t="s">
        <v>87</v>
      </c>
      <c r="L435" s="2">
        <f>N(correct_ratio_df__2[[#This Row],[correct_ratio]]&gt;0)</f>
        <v>1</v>
      </c>
      <c r="M435" s="2">
        <f>N(correct_ratio_df__2[[#This Row],[correct_ratio]]=1)</f>
        <v>1</v>
      </c>
      <c r="N435" s="2">
        <f>correct_ratio_df__2[[#This Row],[calc available]]-correct_ratio_df__2[[#This Row],[clac stable]]</f>
        <v>0</v>
      </c>
    </row>
    <row r="436" spans="1:14" x14ac:dyDescent="0.2">
      <c r="A436">
        <v>434</v>
      </c>
      <c r="B436" s="2" t="s">
        <v>75</v>
      </c>
      <c r="C436" s="2" t="s">
        <v>14</v>
      </c>
      <c r="D436" s="2" t="s">
        <v>17</v>
      </c>
      <c r="E436" s="2" t="s">
        <v>21</v>
      </c>
      <c r="F436" s="2" t="s">
        <v>31</v>
      </c>
      <c r="G436">
        <v>1</v>
      </c>
      <c r="H436" s="2" t="s">
        <v>30</v>
      </c>
      <c r="I436" s="2" t="s">
        <v>87</v>
      </c>
      <c r="L436" s="2">
        <f>N(correct_ratio_df__2[[#This Row],[correct_ratio]]&gt;0)</f>
        <v>1</v>
      </c>
      <c r="M436" s="2">
        <f>N(correct_ratio_df__2[[#This Row],[correct_ratio]]=1)</f>
        <v>1</v>
      </c>
      <c r="N436" s="2">
        <f>correct_ratio_df__2[[#This Row],[calc available]]-correct_ratio_df__2[[#This Row],[clac stable]]</f>
        <v>0</v>
      </c>
    </row>
    <row r="437" spans="1:14" x14ac:dyDescent="0.2">
      <c r="A437">
        <v>435</v>
      </c>
      <c r="B437" s="2" t="s">
        <v>76</v>
      </c>
      <c r="C437" s="2" t="s">
        <v>14</v>
      </c>
      <c r="D437" s="2" t="s">
        <v>10</v>
      </c>
      <c r="E437" s="2" t="s">
        <v>21</v>
      </c>
      <c r="F437" s="2" t="s">
        <v>31</v>
      </c>
      <c r="G437">
        <v>1</v>
      </c>
      <c r="H437" s="2" t="s">
        <v>30</v>
      </c>
      <c r="I437" s="2" t="s">
        <v>87</v>
      </c>
      <c r="L437" s="2">
        <f>N(correct_ratio_df__2[[#This Row],[correct_ratio]]&gt;0)</f>
        <v>1</v>
      </c>
      <c r="M437" s="2">
        <f>N(correct_ratio_df__2[[#This Row],[correct_ratio]]=1)</f>
        <v>1</v>
      </c>
      <c r="N437" s="2">
        <f>correct_ratio_df__2[[#This Row],[calc available]]-correct_ratio_df__2[[#This Row],[clac stable]]</f>
        <v>0</v>
      </c>
    </row>
    <row r="438" spans="1:14" x14ac:dyDescent="0.2">
      <c r="A438">
        <v>436</v>
      </c>
      <c r="B438" s="2" t="s">
        <v>77</v>
      </c>
      <c r="C438" s="2" t="s">
        <v>9</v>
      </c>
      <c r="D438" s="2" t="s">
        <v>17</v>
      </c>
      <c r="E438" s="2" t="s">
        <v>15</v>
      </c>
      <c r="F438" s="2" t="s">
        <v>31</v>
      </c>
      <c r="G438">
        <v>0</v>
      </c>
      <c r="H438" s="2" t="s">
        <v>30</v>
      </c>
      <c r="I438" s="2" t="s">
        <v>87</v>
      </c>
      <c r="L438" s="2">
        <f>N(correct_ratio_df__2[[#This Row],[correct_ratio]]&gt;0)</f>
        <v>0</v>
      </c>
      <c r="M438" s="2">
        <f>N(correct_ratio_df__2[[#This Row],[correct_ratio]]=1)</f>
        <v>0</v>
      </c>
      <c r="N438" s="2">
        <f>correct_ratio_df__2[[#This Row],[calc available]]-correct_ratio_df__2[[#This Row],[clac stable]]</f>
        <v>0</v>
      </c>
    </row>
    <row r="439" spans="1:14" x14ac:dyDescent="0.2">
      <c r="A439">
        <v>437</v>
      </c>
      <c r="B439" s="2" t="s">
        <v>78</v>
      </c>
      <c r="C439" s="2" t="s">
        <v>9</v>
      </c>
      <c r="D439" s="2" t="s">
        <v>17</v>
      </c>
      <c r="E439" s="2" t="s">
        <v>21</v>
      </c>
      <c r="F439" s="2" t="s">
        <v>31</v>
      </c>
      <c r="G439">
        <v>1</v>
      </c>
      <c r="H439" s="2" t="s">
        <v>30</v>
      </c>
      <c r="I439" s="2" t="s">
        <v>87</v>
      </c>
      <c r="L439" s="2">
        <f>N(correct_ratio_df__2[[#This Row],[correct_ratio]]&gt;0)</f>
        <v>1</v>
      </c>
      <c r="M439" s="2">
        <f>N(correct_ratio_df__2[[#This Row],[correct_ratio]]=1)</f>
        <v>1</v>
      </c>
      <c r="N439" s="2">
        <f>correct_ratio_df__2[[#This Row],[calc available]]-correct_ratio_df__2[[#This Row],[clac stable]]</f>
        <v>0</v>
      </c>
    </row>
    <row r="440" spans="1:14" x14ac:dyDescent="0.2">
      <c r="A440">
        <v>438</v>
      </c>
      <c r="B440" s="2" t="s">
        <v>79</v>
      </c>
      <c r="C440" s="2" t="s">
        <v>14</v>
      </c>
      <c r="D440" s="2" t="s">
        <v>17</v>
      </c>
      <c r="E440" s="2" t="s">
        <v>11</v>
      </c>
      <c r="F440" s="2" t="s">
        <v>31</v>
      </c>
      <c r="G440">
        <v>1</v>
      </c>
      <c r="H440" s="2" t="s">
        <v>30</v>
      </c>
      <c r="I440" s="2" t="s">
        <v>87</v>
      </c>
      <c r="L440" s="2">
        <f>N(correct_ratio_df__2[[#This Row],[correct_ratio]]&gt;0)</f>
        <v>1</v>
      </c>
      <c r="M440" s="2">
        <f>N(correct_ratio_df__2[[#This Row],[correct_ratio]]=1)</f>
        <v>1</v>
      </c>
      <c r="N440" s="2">
        <f>correct_ratio_df__2[[#This Row],[calc available]]-correct_ratio_df__2[[#This Row],[clac stable]]</f>
        <v>0</v>
      </c>
    </row>
    <row r="441" spans="1:14" x14ac:dyDescent="0.2">
      <c r="A441">
        <v>439</v>
      </c>
      <c r="B441" s="2" t="s">
        <v>80</v>
      </c>
      <c r="C441" s="2" t="s">
        <v>22</v>
      </c>
      <c r="D441" s="2" t="s">
        <v>20</v>
      </c>
      <c r="E441" s="2" t="s">
        <v>11</v>
      </c>
      <c r="F441" s="2" t="s">
        <v>31</v>
      </c>
      <c r="G441">
        <v>0</v>
      </c>
      <c r="H441" s="2" t="s">
        <v>30</v>
      </c>
      <c r="I441" s="2" t="s">
        <v>87</v>
      </c>
      <c r="L441" s="2">
        <f>N(correct_ratio_df__2[[#This Row],[correct_ratio]]&gt;0)</f>
        <v>0</v>
      </c>
      <c r="M441" s="2">
        <f>N(correct_ratio_df__2[[#This Row],[correct_ratio]]=1)</f>
        <v>0</v>
      </c>
      <c r="N441" s="2">
        <f>correct_ratio_df__2[[#This Row],[calc available]]-correct_ratio_df__2[[#This Row],[clac stable]]</f>
        <v>0</v>
      </c>
    </row>
    <row r="442" spans="1:14" x14ac:dyDescent="0.2">
      <c r="A442">
        <v>440</v>
      </c>
      <c r="B442" s="2" t="s">
        <v>41</v>
      </c>
      <c r="C442" s="2" t="s">
        <v>9</v>
      </c>
      <c r="D442" s="2" t="s">
        <v>10</v>
      </c>
      <c r="E442" s="2" t="s">
        <v>11</v>
      </c>
      <c r="F442" s="2" t="s">
        <v>32</v>
      </c>
      <c r="G442">
        <v>1</v>
      </c>
      <c r="H442" s="2" t="s">
        <v>30</v>
      </c>
      <c r="I442" s="2" t="s">
        <v>85</v>
      </c>
      <c r="L442" s="2">
        <f>N(correct_ratio_df__2[[#This Row],[correct_ratio]]&gt;0)</f>
        <v>1</v>
      </c>
      <c r="M442" s="2">
        <f>N(correct_ratio_df__2[[#This Row],[correct_ratio]]=1)</f>
        <v>1</v>
      </c>
      <c r="N442" s="2">
        <f>correct_ratio_df__2[[#This Row],[calc available]]-correct_ratio_df__2[[#This Row],[clac stable]]</f>
        <v>0</v>
      </c>
    </row>
    <row r="443" spans="1:14" x14ac:dyDescent="0.2">
      <c r="A443">
        <v>441</v>
      </c>
      <c r="B443" s="2" t="s">
        <v>42</v>
      </c>
      <c r="C443" s="2" t="s">
        <v>14</v>
      </c>
      <c r="D443" s="2" t="s">
        <v>10</v>
      </c>
      <c r="E443" s="2" t="s">
        <v>15</v>
      </c>
      <c r="F443" s="2" t="s">
        <v>32</v>
      </c>
      <c r="G443">
        <v>1</v>
      </c>
      <c r="H443" s="2" t="s">
        <v>30</v>
      </c>
      <c r="I443" s="2" t="s">
        <v>85</v>
      </c>
      <c r="L443" s="2">
        <f>N(correct_ratio_df__2[[#This Row],[correct_ratio]]&gt;0)</f>
        <v>1</v>
      </c>
      <c r="M443" s="2">
        <f>N(correct_ratio_df__2[[#This Row],[correct_ratio]]=1)</f>
        <v>1</v>
      </c>
      <c r="N443" s="2">
        <f>correct_ratio_df__2[[#This Row],[calc available]]-correct_ratio_df__2[[#This Row],[clac stable]]</f>
        <v>0</v>
      </c>
    </row>
    <row r="444" spans="1:14" x14ac:dyDescent="0.2">
      <c r="A444">
        <v>442</v>
      </c>
      <c r="B444" s="2" t="s">
        <v>43</v>
      </c>
      <c r="C444" s="2" t="s">
        <v>16</v>
      </c>
      <c r="D444" s="2" t="s">
        <v>17</v>
      </c>
      <c r="E444" s="2" t="s">
        <v>11</v>
      </c>
      <c r="F444" s="2" t="s">
        <v>32</v>
      </c>
      <c r="G444">
        <v>1</v>
      </c>
      <c r="H444" s="2" t="s">
        <v>30</v>
      </c>
      <c r="I444" s="2" t="s">
        <v>85</v>
      </c>
      <c r="L444" s="2">
        <f>N(correct_ratio_df__2[[#This Row],[correct_ratio]]&gt;0)</f>
        <v>1</v>
      </c>
      <c r="M444" s="2">
        <f>N(correct_ratio_df__2[[#This Row],[correct_ratio]]=1)</f>
        <v>1</v>
      </c>
      <c r="N444" s="2">
        <f>correct_ratio_df__2[[#This Row],[calc available]]-correct_ratio_df__2[[#This Row],[clac stable]]</f>
        <v>0</v>
      </c>
    </row>
    <row r="445" spans="1:14" x14ac:dyDescent="0.2">
      <c r="A445">
        <v>443</v>
      </c>
      <c r="B445" s="2" t="s">
        <v>44</v>
      </c>
      <c r="C445" s="2" t="s">
        <v>16</v>
      </c>
      <c r="D445" s="2" t="s">
        <v>10</v>
      </c>
      <c r="E445" s="2" t="s">
        <v>15</v>
      </c>
      <c r="F445" s="2" t="s">
        <v>32</v>
      </c>
      <c r="G445">
        <v>0.66666666666666663</v>
      </c>
      <c r="H445" s="2" t="s">
        <v>30</v>
      </c>
      <c r="I445" s="2" t="s">
        <v>85</v>
      </c>
      <c r="L445" s="2">
        <f>N(correct_ratio_df__2[[#This Row],[correct_ratio]]&gt;0)</f>
        <v>1</v>
      </c>
      <c r="M445" s="2">
        <f>N(correct_ratio_df__2[[#This Row],[correct_ratio]]=1)</f>
        <v>0</v>
      </c>
      <c r="N445" s="2">
        <f>correct_ratio_df__2[[#This Row],[calc available]]-correct_ratio_df__2[[#This Row],[clac stable]]</f>
        <v>1</v>
      </c>
    </row>
    <row r="446" spans="1:14" x14ac:dyDescent="0.2">
      <c r="A446">
        <v>444</v>
      </c>
      <c r="B446" s="2" t="s">
        <v>45</v>
      </c>
      <c r="C446" s="2" t="s">
        <v>14</v>
      </c>
      <c r="D446" s="2" t="s">
        <v>18</v>
      </c>
      <c r="E446" s="2" t="s">
        <v>15</v>
      </c>
      <c r="F446" s="2" t="s">
        <v>32</v>
      </c>
      <c r="G446">
        <v>1</v>
      </c>
      <c r="H446" s="2" t="s">
        <v>30</v>
      </c>
      <c r="I446" s="2" t="s">
        <v>85</v>
      </c>
      <c r="L446" s="2">
        <f>N(correct_ratio_df__2[[#This Row],[correct_ratio]]&gt;0)</f>
        <v>1</v>
      </c>
      <c r="M446" s="2">
        <f>N(correct_ratio_df__2[[#This Row],[correct_ratio]]=1)</f>
        <v>1</v>
      </c>
      <c r="N446" s="2">
        <f>correct_ratio_df__2[[#This Row],[calc available]]-correct_ratio_df__2[[#This Row],[clac stable]]</f>
        <v>0</v>
      </c>
    </row>
    <row r="447" spans="1:14" x14ac:dyDescent="0.2">
      <c r="A447">
        <v>445</v>
      </c>
      <c r="B447" s="2" t="s">
        <v>46</v>
      </c>
      <c r="C447" s="2" t="s">
        <v>14</v>
      </c>
      <c r="D447" s="2" t="s">
        <v>10</v>
      </c>
      <c r="E447" s="2" t="s">
        <v>15</v>
      </c>
      <c r="F447" s="2" t="s">
        <v>32</v>
      </c>
      <c r="G447">
        <v>0.66666666666666663</v>
      </c>
      <c r="H447" s="2" t="s">
        <v>30</v>
      </c>
      <c r="I447" s="2" t="s">
        <v>85</v>
      </c>
      <c r="L447" s="2">
        <f>N(correct_ratio_df__2[[#This Row],[correct_ratio]]&gt;0)</f>
        <v>1</v>
      </c>
      <c r="M447" s="2">
        <f>N(correct_ratio_df__2[[#This Row],[correct_ratio]]=1)</f>
        <v>0</v>
      </c>
      <c r="N447" s="2">
        <f>correct_ratio_df__2[[#This Row],[calc available]]-correct_ratio_df__2[[#This Row],[clac stable]]</f>
        <v>1</v>
      </c>
    </row>
    <row r="448" spans="1:14" x14ac:dyDescent="0.2">
      <c r="A448">
        <v>446</v>
      </c>
      <c r="B448" s="2" t="s">
        <v>47</v>
      </c>
      <c r="C448" s="2" t="s">
        <v>19</v>
      </c>
      <c r="D448" s="2" t="s">
        <v>10</v>
      </c>
      <c r="E448" s="2" t="s">
        <v>15</v>
      </c>
      <c r="F448" s="2" t="s">
        <v>32</v>
      </c>
      <c r="G448">
        <v>1</v>
      </c>
      <c r="H448" s="2" t="s">
        <v>30</v>
      </c>
      <c r="I448" s="2" t="s">
        <v>85</v>
      </c>
      <c r="L448" s="2">
        <f>N(correct_ratio_df__2[[#This Row],[correct_ratio]]&gt;0)</f>
        <v>1</v>
      </c>
      <c r="M448" s="2">
        <f>N(correct_ratio_df__2[[#This Row],[correct_ratio]]=1)</f>
        <v>1</v>
      </c>
      <c r="N448" s="2">
        <f>correct_ratio_df__2[[#This Row],[calc available]]-correct_ratio_df__2[[#This Row],[clac stable]]</f>
        <v>0</v>
      </c>
    </row>
    <row r="449" spans="1:14" x14ac:dyDescent="0.2">
      <c r="A449">
        <v>447</v>
      </c>
      <c r="B449" s="2" t="s">
        <v>48</v>
      </c>
      <c r="C449" s="2" t="s">
        <v>16</v>
      </c>
      <c r="D449" s="2" t="s">
        <v>20</v>
      </c>
      <c r="E449" s="2" t="s">
        <v>21</v>
      </c>
      <c r="F449" s="2" t="s">
        <v>32</v>
      </c>
      <c r="G449">
        <v>1</v>
      </c>
      <c r="H449" s="2" t="s">
        <v>30</v>
      </c>
      <c r="I449" s="2" t="s">
        <v>85</v>
      </c>
      <c r="L449" s="2">
        <f>N(correct_ratio_df__2[[#This Row],[correct_ratio]]&gt;0)</f>
        <v>1</v>
      </c>
      <c r="M449" s="2">
        <f>N(correct_ratio_df__2[[#This Row],[correct_ratio]]=1)</f>
        <v>1</v>
      </c>
      <c r="N449" s="2">
        <f>correct_ratio_df__2[[#This Row],[calc available]]-correct_ratio_df__2[[#This Row],[clac stable]]</f>
        <v>0</v>
      </c>
    </row>
    <row r="450" spans="1:14" x14ac:dyDescent="0.2">
      <c r="A450">
        <v>448</v>
      </c>
      <c r="B450" s="2" t="s">
        <v>49</v>
      </c>
      <c r="C450" s="2" t="s">
        <v>16</v>
      </c>
      <c r="D450" s="2" t="s">
        <v>10</v>
      </c>
      <c r="E450" s="2" t="s">
        <v>21</v>
      </c>
      <c r="F450" s="2" t="s">
        <v>32</v>
      </c>
      <c r="G450">
        <v>1</v>
      </c>
      <c r="H450" s="2" t="s">
        <v>30</v>
      </c>
      <c r="I450" s="2" t="s">
        <v>85</v>
      </c>
      <c r="L450" s="2">
        <f>N(correct_ratio_df__2[[#This Row],[correct_ratio]]&gt;0)</f>
        <v>1</v>
      </c>
      <c r="M450" s="2">
        <f>N(correct_ratio_df__2[[#This Row],[correct_ratio]]=1)</f>
        <v>1</v>
      </c>
      <c r="N450" s="2">
        <f>correct_ratio_df__2[[#This Row],[calc available]]-correct_ratio_df__2[[#This Row],[clac stable]]</f>
        <v>0</v>
      </c>
    </row>
    <row r="451" spans="1:14" x14ac:dyDescent="0.2">
      <c r="A451">
        <v>449</v>
      </c>
      <c r="B451" s="2" t="s">
        <v>50</v>
      </c>
      <c r="C451" s="2" t="s">
        <v>9</v>
      </c>
      <c r="D451" s="2" t="s">
        <v>17</v>
      </c>
      <c r="E451" s="2" t="s">
        <v>21</v>
      </c>
      <c r="F451" s="2" t="s">
        <v>32</v>
      </c>
      <c r="G451">
        <v>0</v>
      </c>
      <c r="H451" s="2" t="s">
        <v>30</v>
      </c>
      <c r="I451" s="2" t="s">
        <v>85</v>
      </c>
      <c r="L451" s="2">
        <f>N(correct_ratio_df__2[[#This Row],[correct_ratio]]&gt;0)</f>
        <v>0</v>
      </c>
      <c r="M451" s="2">
        <f>N(correct_ratio_df__2[[#This Row],[correct_ratio]]=1)</f>
        <v>0</v>
      </c>
      <c r="N451" s="2">
        <f>correct_ratio_df__2[[#This Row],[calc available]]-correct_ratio_df__2[[#This Row],[clac stable]]</f>
        <v>0</v>
      </c>
    </row>
    <row r="452" spans="1:14" x14ac:dyDescent="0.2">
      <c r="A452">
        <v>450</v>
      </c>
      <c r="B452" s="2" t="s">
        <v>51</v>
      </c>
      <c r="C452" s="2" t="s">
        <v>16</v>
      </c>
      <c r="D452" s="2" t="s">
        <v>17</v>
      </c>
      <c r="E452" s="2" t="s">
        <v>11</v>
      </c>
      <c r="F452" s="2" t="s">
        <v>32</v>
      </c>
      <c r="G452">
        <v>1</v>
      </c>
      <c r="H452" s="2" t="s">
        <v>30</v>
      </c>
      <c r="I452" s="2" t="s">
        <v>85</v>
      </c>
      <c r="L452" s="2">
        <f>N(correct_ratio_df__2[[#This Row],[correct_ratio]]&gt;0)</f>
        <v>1</v>
      </c>
      <c r="M452" s="2">
        <f>N(correct_ratio_df__2[[#This Row],[correct_ratio]]=1)</f>
        <v>1</v>
      </c>
      <c r="N452" s="2">
        <f>correct_ratio_df__2[[#This Row],[calc available]]-correct_ratio_df__2[[#This Row],[clac stable]]</f>
        <v>0</v>
      </c>
    </row>
    <row r="453" spans="1:14" x14ac:dyDescent="0.2">
      <c r="A453">
        <v>451</v>
      </c>
      <c r="B453" s="2" t="s">
        <v>52</v>
      </c>
      <c r="C453" s="2" t="s">
        <v>9</v>
      </c>
      <c r="D453" s="2" t="s">
        <v>17</v>
      </c>
      <c r="E453" s="2" t="s">
        <v>15</v>
      </c>
      <c r="F453" s="2" t="s">
        <v>32</v>
      </c>
      <c r="G453">
        <v>1</v>
      </c>
      <c r="H453" s="2" t="s">
        <v>30</v>
      </c>
      <c r="I453" s="2" t="s">
        <v>85</v>
      </c>
      <c r="L453" s="2">
        <f>N(correct_ratio_df__2[[#This Row],[correct_ratio]]&gt;0)</f>
        <v>1</v>
      </c>
      <c r="M453" s="2">
        <f>N(correct_ratio_df__2[[#This Row],[correct_ratio]]=1)</f>
        <v>1</v>
      </c>
      <c r="N453" s="2">
        <f>correct_ratio_df__2[[#This Row],[calc available]]-correct_ratio_df__2[[#This Row],[clac stable]]</f>
        <v>0</v>
      </c>
    </row>
    <row r="454" spans="1:14" x14ac:dyDescent="0.2">
      <c r="A454">
        <v>452</v>
      </c>
      <c r="B454" s="2" t="s">
        <v>53</v>
      </c>
      <c r="C454" s="2" t="s">
        <v>19</v>
      </c>
      <c r="D454" s="2" t="s">
        <v>17</v>
      </c>
      <c r="E454" s="2" t="s">
        <v>21</v>
      </c>
      <c r="F454" s="2" t="s">
        <v>32</v>
      </c>
      <c r="G454">
        <v>0.66666666666666663</v>
      </c>
      <c r="H454" s="2" t="s">
        <v>30</v>
      </c>
      <c r="I454" s="2" t="s">
        <v>85</v>
      </c>
      <c r="L454" s="2">
        <f>N(correct_ratio_df__2[[#This Row],[correct_ratio]]&gt;0)</f>
        <v>1</v>
      </c>
      <c r="M454" s="2">
        <f>N(correct_ratio_df__2[[#This Row],[correct_ratio]]=1)</f>
        <v>0</v>
      </c>
      <c r="N454" s="2">
        <f>correct_ratio_df__2[[#This Row],[calc available]]-correct_ratio_df__2[[#This Row],[clac stable]]</f>
        <v>1</v>
      </c>
    </row>
    <row r="455" spans="1:14" x14ac:dyDescent="0.2">
      <c r="A455">
        <v>453</v>
      </c>
      <c r="B455" s="2" t="s">
        <v>54</v>
      </c>
      <c r="C455" s="2" t="s">
        <v>14</v>
      </c>
      <c r="D455" s="2" t="s">
        <v>17</v>
      </c>
      <c r="E455" s="2" t="s">
        <v>15</v>
      </c>
      <c r="F455" s="2" t="s">
        <v>32</v>
      </c>
      <c r="G455">
        <v>0.66666666666666663</v>
      </c>
      <c r="H455" s="2" t="s">
        <v>30</v>
      </c>
      <c r="I455" s="2" t="s">
        <v>85</v>
      </c>
      <c r="L455" s="2">
        <f>N(correct_ratio_df__2[[#This Row],[correct_ratio]]&gt;0)</f>
        <v>1</v>
      </c>
      <c r="M455" s="2">
        <f>N(correct_ratio_df__2[[#This Row],[correct_ratio]]=1)</f>
        <v>0</v>
      </c>
      <c r="N455" s="2">
        <f>correct_ratio_df__2[[#This Row],[calc available]]-correct_ratio_df__2[[#This Row],[clac stable]]</f>
        <v>1</v>
      </c>
    </row>
    <row r="456" spans="1:14" x14ac:dyDescent="0.2">
      <c r="A456">
        <v>454</v>
      </c>
      <c r="B456" s="2" t="s">
        <v>55</v>
      </c>
      <c r="C456" s="2" t="s">
        <v>9</v>
      </c>
      <c r="D456" s="2" t="s">
        <v>18</v>
      </c>
      <c r="E456" s="2" t="s">
        <v>21</v>
      </c>
      <c r="F456" s="2" t="s">
        <v>32</v>
      </c>
      <c r="G456">
        <v>0.33333333333333331</v>
      </c>
      <c r="H456" s="2" t="s">
        <v>30</v>
      </c>
      <c r="I456" s="2" t="s">
        <v>85</v>
      </c>
      <c r="L456" s="2">
        <f>N(correct_ratio_df__2[[#This Row],[correct_ratio]]&gt;0)</f>
        <v>1</v>
      </c>
      <c r="M456" s="2">
        <f>N(correct_ratio_df__2[[#This Row],[correct_ratio]]=1)</f>
        <v>0</v>
      </c>
      <c r="N456" s="2">
        <f>correct_ratio_df__2[[#This Row],[calc available]]-correct_ratio_df__2[[#This Row],[clac stable]]</f>
        <v>1</v>
      </c>
    </row>
    <row r="457" spans="1:14" x14ac:dyDescent="0.2">
      <c r="A457">
        <v>455</v>
      </c>
      <c r="B457" s="2" t="s">
        <v>56</v>
      </c>
      <c r="C457" s="2" t="s">
        <v>19</v>
      </c>
      <c r="D457" s="2" t="s">
        <v>17</v>
      </c>
      <c r="E457" s="2" t="s">
        <v>21</v>
      </c>
      <c r="F457" s="2" t="s">
        <v>32</v>
      </c>
      <c r="G457">
        <v>0.33333333333333331</v>
      </c>
      <c r="H457" s="2" t="s">
        <v>30</v>
      </c>
      <c r="I457" s="2" t="s">
        <v>85</v>
      </c>
      <c r="L457" s="2">
        <f>N(correct_ratio_df__2[[#This Row],[correct_ratio]]&gt;0)</f>
        <v>1</v>
      </c>
      <c r="M457" s="2">
        <f>N(correct_ratio_df__2[[#This Row],[correct_ratio]]=1)</f>
        <v>0</v>
      </c>
      <c r="N457" s="2">
        <f>correct_ratio_df__2[[#This Row],[calc available]]-correct_ratio_df__2[[#This Row],[clac stable]]</f>
        <v>1</v>
      </c>
    </row>
    <row r="458" spans="1:14" x14ac:dyDescent="0.2">
      <c r="A458">
        <v>456</v>
      </c>
      <c r="B458" s="2" t="s">
        <v>57</v>
      </c>
      <c r="C458" s="2" t="s">
        <v>9</v>
      </c>
      <c r="D458" s="2" t="s">
        <v>17</v>
      </c>
      <c r="E458" s="2" t="s">
        <v>21</v>
      </c>
      <c r="F458" s="2" t="s">
        <v>32</v>
      </c>
      <c r="G458">
        <v>0</v>
      </c>
      <c r="H458" s="2" t="s">
        <v>30</v>
      </c>
      <c r="I458" s="2" t="s">
        <v>85</v>
      </c>
      <c r="L458" s="2">
        <f>N(correct_ratio_df__2[[#This Row],[correct_ratio]]&gt;0)</f>
        <v>0</v>
      </c>
      <c r="M458" s="2">
        <f>N(correct_ratio_df__2[[#This Row],[correct_ratio]]=1)</f>
        <v>0</v>
      </c>
      <c r="N458" s="2">
        <f>correct_ratio_df__2[[#This Row],[calc available]]-correct_ratio_df__2[[#This Row],[clac stable]]</f>
        <v>0</v>
      </c>
    </row>
    <row r="459" spans="1:14" x14ac:dyDescent="0.2">
      <c r="A459">
        <v>457</v>
      </c>
      <c r="B459" s="2" t="s">
        <v>58</v>
      </c>
      <c r="C459" s="2" t="s">
        <v>9</v>
      </c>
      <c r="D459" s="2" t="s">
        <v>17</v>
      </c>
      <c r="E459" s="2" t="s">
        <v>21</v>
      </c>
      <c r="F459" s="2" t="s">
        <v>32</v>
      </c>
      <c r="G459">
        <v>0</v>
      </c>
      <c r="H459" s="2" t="s">
        <v>30</v>
      </c>
      <c r="I459" s="2" t="s">
        <v>85</v>
      </c>
      <c r="L459" s="2">
        <f>N(correct_ratio_df__2[[#This Row],[correct_ratio]]&gt;0)</f>
        <v>0</v>
      </c>
      <c r="M459" s="2">
        <f>N(correct_ratio_df__2[[#This Row],[correct_ratio]]=1)</f>
        <v>0</v>
      </c>
      <c r="N459" s="2">
        <f>correct_ratio_df__2[[#This Row],[calc available]]-correct_ratio_df__2[[#This Row],[clac stable]]</f>
        <v>0</v>
      </c>
    </row>
    <row r="460" spans="1:14" x14ac:dyDescent="0.2">
      <c r="A460">
        <v>458</v>
      </c>
      <c r="B460" s="2" t="s">
        <v>59</v>
      </c>
      <c r="C460" s="2" t="s">
        <v>19</v>
      </c>
      <c r="D460" s="2" t="s">
        <v>17</v>
      </c>
      <c r="E460" s="2" t="s">
        <v>15</v>
      </c>
      <c r="F460" s="2" t="s">
        <v>32</v>
      </c>
      <c r="G460">
        <v>1</v>
      </c>
      <c r="H460" s="2" t="s">
        <v>30</v>
      </c>
      <c r="I460" s="2" t="s">
        <v>85</v>
      </c>
      <c r="L460" s="2">
        <f>N(correct_ratio_df__2[[#This Row],[correct_ratio]]&gt;0)</f>
        <v>1</v>
      </c>
      <c r="M460" s="2">
        <f>N(correct_ratio_df__2[[#This Row],[correct_ratio]]=1)</f>
        <v>1</v>
      </c>
      <c r="N460" s="2">
        <f>correct_ratio_df__2[[#This Row],[calc available]]-correct_ratio_df__2[[#This Row],[clac stable]]</f>
        <v>0</v>
      </c>
    </row>
    <row r="461" spans="1:14" x14ac:dyDescent="0.2">
      <c r="A461">
        <v>459</v>
      </c>
      <c r="B461" s="2" t="s">
        <v>60</v>
      </c>
      <c r="C461" s="2" t="s">
        <v>9</v>
      </c>
      <c r="D461" s="2" t="s">
        <v>17</v>
      </c>
      <c r="E461" s="2" t="s">
        <v>21</v>
      </c>
      <c r="F461" s="2" t="s">
        <v>32</v>
      </c>
      <c r="G461">
        <v>0.33333333333333331</v>
      </c>
      <c r="H461" s="2" t="s">
        <v>30</v>
      </c>
      <c r="I461" s="2" t="s">
        <v>85</v>
      </c>
      <c r="L461" s="2">
        <f>N(correct_ratio_df__2[[#This Row],[correct_ratio]]&gt;0)</f>
        <v>1</v>
      </c>
      <c r="M461" s="2">
        <f>N(correct_ratio_df__2[[#This Row],[correct_ratio]]=1)</f>
        <v>0</v>
      </c>
      <c r="N461" s="2">
        <f>correct_ratio_df__2[[#This Row],[calc available]]-correct_ratio_df__2[[#This Row],[clac stable]]</f>
        <v>1</v>
      </c>
    </row>
    <row r="462" spans="1:14" x14ac:dyDescent="0.2">
      <c r="A462">
        <v>460</v>
      </c>
      <c r="B462" s="2" t="s">
        <v>61</v>
      </c>
      <c r="C462" s="2" t="s">
        <v>14</v>
      </c>
      <c r="D462" s="2" t="s">
        <v>10</v>
      </c>
      <c r="E462" s="2" t="s">
        <v>11</v>
      </c>
      <c r="F462" s="2" t="s">
        <v>32</v>
      </c>
      <c r="G462">
        <v>1</v>
      </c>
      <c r="H462" s="2" t="s">
        <v>30</v>
      </c>
      <c r="I462" s="2" t="s">
        <v>85</v>
      </c>
      <c r="L462" s="2">
        <f>N(correct_ratio_df__2[[#This Row],[correct_ratio]]&gt;0)</f>
        <v>1</v>
      </c>
      <c r="M462" s="2">
        <f>N(correct_ratio_df__2[[#This Row],[correct_ratio]]=1)</f>
        <v>1</v>
      </c>
      <c r="N462" s="2">
        <f>correct_ratio_df__2[[#This Row],[calc available]]-correct_ratio_df__2[[#This Row],[clac stable]]</f>
        <v>0</v>
      </c>
    </row>
    <row r="463" spans="1:14" x14ac:dyDescent="0.2">
      <c r="A463">
        <v>461</v>
      </c>
      <c r="B463" s="2" t="s">
        <v>62</v>
      </c>
      <c r="C463" s="2" t="s">
        <v>16</v>
      </c>
      <c r="D463" s="2" t="s">
        <v>18</v>
      </c>
      <c r="E463" s="2" t="s">
        <v>11</v>
      </c>
      <c r="F463" s="2" t="s">
        <v>32</v>
      </c>
      <c r="G463">
        <v>0</v>
      </c>
      <c r="H463" s="2" t="s">
        <v>30</v>
      </c>
      <c r="I463" s="2" t="s">
        <v>85</v>
      </c>
      <c r="L463" s="2">
        <f>N(correct_ratio_df__2[[#This Row],[correct_ratio]]&gt;0)</f>
        <v>0</v>
      </c>
      <c r="M463" s="2">
        <f>N(correct_ratio_df__2[[#This Row],[correct_ratio]]=1)</f>
        <v>0</v>
      </c>
      <c r="N463" s="2">
        <f>correct_ratio_df__2[[#This Row],[calc available]]-correct_ratio_df__2[[#This Row],[clac stable]]</f>
        <v>0</v>
      </c>
    </row>
    <row r="464" spans="1:14" x14ac:dyDescent="0.2">
      <c r="A464">
        <v>462</v>
      </c>
      <c r="B464" s="2" t="s">
        <v>63</v>
      </c>
      <c r="C464" s="2" t="s">
        <v>9</v>
      </c>
      <c r="D464" s="2" t="s">
        <v>20</v>
      </c>
      <c r="E464" s="2" t="s">
        <v>15</v>
      </c>
      <c r="F464" s="2" t="s">
        <v>32</v>
      </c>
      <c r="G464">
        <v>0</v>
      </c>
      <c r="H464" s="2" t="s">
        <v>30</v>
      </c>
      <c r="I464" s="2" t="s">
        <v>85</v>
      </c>
      <c r="L464" s="2">
        <f>N(correct_ratio_df__2[[#This Row],[correct_ratio]]&gt;0)</f>
        <v>0</v>
      </c>
      <c r="M464" s="2">
        <f>N(correct_ratio_df__2[[#This Row],[correct_ratio]]=1)</f>
        <v>0</v>
      </c>
      <c r="N464" s="2">
        <f>correct_ratio_df__2[[#This Row],[calc available]]-correct_ratio_df__2[[#This Row],[clac stable]]</f>
        <v>0</v>
      </c>
    </row>
    <row r="465" spans="1:14" x14ac:dyDescent="0.2">
      <c r="A465">
        <v>463</v>
      </c>
      <c r="B465" s="2" t="s">
        <v>64</v>
      </c>
      <c r="C465" s="2" t="s">
        <v>14</v>
      </c>
      <c r="D465" s="2" t="s">
        <v>17</v>
      </c>
      <c r="E465" s="2" t="s">
        <v>11</v>
      </c>
      <c r="F465" s="2" t="s">
        <v>32</v>
      </c>
      <c r="G465">
        <v>1</v>
      </c>
      <c r="H465" s="2" t="s">
        <v>30</v>
      </c>
      <c r="I465" s="2" t="s">
        <v>85</v>
      </c>
      <c r="L465" s="2">
        <f>N(correct_ratio_df__2[[#This Row],[correct_ratio]]&gt;0)</f>
        <v>1</v>
      </c>
      <c r="M465" s="2">
        <f>N(correct_ratio_df__2[[#This Row],[correct_ratio]]=1)</f>
        <v>1</v>
      </c>
      <c r="N465" s="2">
        <f>correct_ratio_df__2[[#This Row],[calc available]]-correct_ratio_df__2[[#This Row],[clac stable]]</f>
        <v>0</v>
      </c>
    </row>
    <row r="466" spans="1:14" x14ac:dyDescent="0.2">
      <c r="A466">
        <v>464</v>
      </c>
      <c r="B466" s="2" t="s">
        <v>65</v>
      </c>
      <c r="C466" s="2" t="s">
        <v>19</v>
      </c>
      <c r="D466" s="2" t="s">
        <v>18</v>
      </c>
      <c r="E466" s="2" t="s">
        <v>21</v>
      </c>
      <c r="F466" s="2" t="s">
        <v>32</v>
      </c>
      <c r="G466">
        <v>1</v>
      </c>
      <c r="H466" s="2" t="s">
        <v>30</v>
      </c>
      <c r="I466" s="2" t="s">
        <v>85</v>
      </c>
      <c r="L466" s="2">
        <f>N(correct_ratio_df__2[[#This Row],[correct_ratio]]&gt;0)</f>
        <v>1</v>
      </c>
      <c r="M466" s="2">
        <f>N(correct_ratio_df__2[[#This Row],[correct_ratio]]=1)</f>
        <v>1</v>
      </c>
      <c r="N466" s="2">
        <f>correct_ratio_df__2[[#This Row],[calc available]]-correct_ratio_df__2[[#This Row],[clac stable]]</f>
        <v>0</v>
      </c>
    </row>
    <row r="467" spans="1:14" x14ac:dyDescent="0.2">
      <c r="A467">
        <v>465</v>
      </c>
      <c r="B467" s="2" t="s">
        <v>66</v>
      </c>
      <c r="C467" s="2" t="s">
        <v>14</v>
      </c>
      <c r="D467" s="2" t="s">
        <v>18</v>
      </c>
      <c r="E467" s="2" t="s">
        <v>15</v>
      </c>
      <c r="F467" s="2" t="s">
        <v>32</v>
      </c>
      <c r="G467">
        <v>0.66666666666666663</v>
      </c>
      <c r="H467" s="2" t="s">
        <v>30</v>
      </c>
      <c r="I467" s="2" t="s">
        <v>85</v>
      </c>
      <c r="L467" s="2">
        <f>N(correct_ratio_df__2[[#This Row],[correct_ratio]]&gt;0)</f>
        <v>1</v>
      </c>
      <c r="M467" s="2">
        <f>N(correct_ratio_df__2[[#This Row],[correct_ratio]]=1)</f>
        <v>0</v>
      </c>
      <c r="N467" s="2">
        <f>correct_ratio_df__2[[#This Row],[calc available]]-correct_ratio_df__2[[#This Row],[clac stable]]</f>
        <v>1</v>
      </c>
    </row>
    <row r="468" spans="1:14" x14ac:dyDescent="0.2">
      <c r="A468">
        <v>466</v>
      </c>
      <c r="B468" s="2" t="s">
        <v>67</v>
      </c>
      <c r="C468" s="2" t="s">
        <v>9</v>
      </c>
      <c r="D468" s="2" t="s">
        <v>17</v>
      </c>
      <c r="E468" s="2" t="s">
        <v>21</v>
      </c>
      <c r="F468" s="2" t="s">
        <v>32</v>
      </c>
      <c r="G468">
        <v>1</v>
      </c>
      <c r="H468" s="2" t="s">
        <v>30</v>
      </c>
      <c r="I468" s="2" t="s">
        <v>85</v>
      </c>
      <c r="L468" s="2">
        <f>N(correct_ratio_df__2[[#This Row],[correct_ratio]]&gt;0)</f>
        <v>1</v>
      </c>
      <c r="M468" s="2">
        <f>N(correct_ratio_df__2[[#This Row],[correct_ratio]]=1)</f>
        <v>1</v>
      </c>
      <c r="N468" s="2">
        <f>correct_ratio_df__2[[#This Row],[calc available]]-correct_ratio_df__2[[#This Row],[clac stable]]</f>
        <v>0</v>
      </c>
    </row>
    <row r="469" spans="1:14" x14ac:dyDescent="0.2">
      <c r="A469">
        <v>467</v>
      </c>
      <c r="B469" s="2" t="s">
        <v>68</v>
      </c>
      <c r="C469" s="2" t="s">
        <v>14</v>
      </c>
      <c r="D469" s="2" t="s">
        <v>17</v>
      </c>
      <c r="E469" s="2" t="s">
        <v>15</v>
      </c>
      <c r="F469" s="2" t="s">
        <v>32</v>
      </c>
      <c r="G469">
        <v>0.66666666666666663</v>
      </c>
      <c r="H469" s="2" t="s">
        <v>30</v>
      </c>
      <c r="I469" s="2" t="s">
        <v>85</v>
      </c>
      <c r="L469" s="2">
        <f>N(correct_ratio_df__2[[#This Row],[correct_ratio]]&gt;0)</f>
        <v>1</v>
      </c>
      <c r="M469" s="2">
        <f>N(correct_ratio_df__2[[#This Row],[correct_ratio]]=1)</f>
        <v>0</v>
      </c>
      <c r="N469" s="2">
        <f>correct_ratio_df__2[[#This Row],[calc available]]-correct_ratio_df__2[[#This Row],[clac stable]]</f>
        <v>1</v>
      </c>
    </row>
    <row r="470" spans="1:14" x14ac:dyDescent="0.2">
      <c r="A470">
        <v>468</v>
      </c>
      <c r="B470" s="2" t="s">
        <v>69</v>
      </c>
      <c r="C470" s="2" t="s">
        <v>22</v>
      </c>
      <c r="D470" s="2" t="s">
        <v>17</v>
      </c>
      <c r="E470" s="2" t="s">
        <v>11</v>
      </c>
      <c r="F470" s="2" t="s">
        <v>32</v>
      </c>
      <c r="G470">
        <v>0</v>
      </c>
      <c r="H470" s="2" t="s">
        <v>30</v>
      </c>
      <c r="I470" s="2" t="s">
        <v>85</v>
      </c>
      <c r="L470" s="2">
        <f>N(correct_ratio_df__2[[#This Row],[correct_ratio]]&gt;0)</f>
        <v>0</v>
      </c>
      <c r="M470" s="2">
        <f>N(correct_ratio_df__2[[#This Row],[correct_ratio]]=1)</f>
        <v>0</v>
      </c>
      <c r="N470" s="2">
        <f>correct_ratio_df__2[[#This Row],[calc available]]-correct_ratio_df__2[[#This Row],[clac stable]]</f>
        <v>0</v>
      </c>
    </row>
    <row r="471" spans="1:14" x14ac:dyDescent="0.2">
      <c r="A471">
        <v>469</v>
      </c>
      <c r="B471" s="2" t="s">
        <v>70</v>
      </c>
      <c r="C471" s="2" t="s">
        <v>9</v>
      </c>
      <c r="D471" s="2" t="s">
        <v>17</v>
      </c>
      <c r="E471" s="2" t="s">
        <v>15</v>
      </c>
      <c r="F471" s="2" t="s">
        <v>32</v>
      </c>
      <c r="G471">
        <v>0</v>
      </c>
      <c r="H471" s="2" t="s">
        <v>30</v>
      </c>
      <c r="I471" s="2" t="s">
        <v>85</v>
      </c>
      <c r="L471" s="2">
        <f>N(correct_ratio_df__2[[#This Row],[correct_ratio]]&gt;0)</f>
        <v>0</v>
      </c>
      <c r="M471" s="2">
        <f>N(correct_ratio_df__2[[#This Row],[correct_ratio]]=1)</f>
        <v>0</v>
      </c>
      <c r="N471" s="2">
        <f>correct_ratio_df__2[[#This Row],[calc available]]-correct_ratio_df__2[[#This Row],[clac stable]]</f>
        <v>0</v>
      </c>
    </row>
    <row r="472" spans="1:14" x14ac:dyDescent="0.2">
      <c r="A472">
        <v>470</v>
      </c>
      <c r="B472" s="2" t="s">
        <v>71</v>
      </c>
      <c r="C472" s="2" t="s">
        <v>9</v>
      </c>
      <c r="D472" s="2" t="s">
        <v>17</v>
      </c>
      <c r="E472" s="2" t="s">
        <v>21</v>
      </c>
      <c r="F472" s="2" t="s">
        <v>32</v>
      </c>
      <c r="G472">
        <v>0</v>
      </c>
      <c r="H472" s="2" t="s">
        <v>30</v>
      </c>
      <c r="I472" s="2" t="s">
        <v>85</v>
      </c>
      <c r="L472" s="2">
        <f>N(correct_ratio_df__2[[#This Row],[correct_ratio]]&gt;0)</f>
        <v>0</v>
      </c>
      <c r="M472" s="2">
        <f>N(correct_ratio_df__2[[#This Row],[correct_ratio]]=1)</f>
        <v>0</v>
      </c>
      <c r="N472" s="2">
        <f>correct_ratio_df__2[[#This Row],[calc available]]-correct_ratio_df__2[[#This Row],[clac stable]]</f>
        <v>0</v>
      </c>
    </row>
    <row r="473" spans="1:14" x14ac:dyDescent="0.2">
      <c r="A473">
        <v>471</v>
      </c>
      <c r="B473" s="2" t="s">
        <v>72</v>
      </c>
      <c r="C473" s="2" t="s">
        <v>19</v>
      </c>
      <c r="D473" s="2" t="s">
        <v>17</v>
      </c>
      <c r="E473" s="2" t="s">
        <v>11</v>
      </c>
      <c r="F473" s="2" t="s">
        <v>32</v>
      </c>
      <c r="G473">
        <v>0.33333333333333331</v>
      </c>
      <c r="H473" s="2" t="s">
        <v>30</v>
      </c>
      <c r="I473" s="2" t="s">
        <v>85</v>
      </c>
      <c r="L473" s="2">
        <f>N(correct_ratio_df__2[[#This Row],[correct_ratio]]&gt;0)</f>
        <v>1</v>
      </c>
      <c r="M473" s="2">
        <f>N(correct_ratio_df__2[[#This Row],[correct_ratio]]=1)</f>
        <v>0</v>
      </c>
      <c r="N473" s="2">
        <f>correct_ratio_df__2[[#This Row],[calc available]]-correct_ratio_df__2[[#This Row],[clac stable]]</f>
        <v>1</v>
      </c>
    </row>
    <row r="474" spans="1:14" x14ac:dyDescent="0.2">
      <c r="A474">
        <v>472</v>
      </c>
      <c r="B474" s="2" t="s">
        <v>73</v>
      </c>
      <c r="C474" s="2" t="s">
        <v>16</v>
      </c>
      <c r="D474" s="2" t="s">
        <v>17</v>
      </c>
      <c r="E474" s="2" t="s">
        <v>11</v>
      </c>
      <c r="F474" s="2" t="s">
        <v>32</v>
      </c>
      <c r="G474">
        <v>1</v>
      </c>
      <c r="H474" s="2" t="s">
        <v>30</v>
      </c>
      <c r="I474" s="2" t="s">
        <v>85</v>
      </c>
      <c r="L474" s="2">
        <f>N(correct_ratio_df__2[[#This Row],[correct_ratio]]&gt;0)</f>
        <v>1</v>
      </c>
      <c r="M474" s="2">
        <f>N(correct_ratio_df__2[[#This Row],[correct_ratio]]=1)</f>
        <v>1</v>
      </c>
      <c r="N474" s="2">
        <f>correct_ratio_df__2[[#This Row],[calc available]]-correct_ratio_df__2[[#This Row],[clac stable]]</f>
        <v>0</v>
      </c>
    </row>
    <row r="475" spans="1:14" x14ac:dyDescent="0.2">
      <c r="A475">
        <v>473</v>
      </c>
      <c r="B475" s="2" t="s">
        <v>74</v>
      </c>
      <c r="C475" s="2" t="s">
        <v>22</v>
      </c>
      <c r="D475" s="2" t="s">
        <v>17</v>
      </c>
      <c r="E475" s="2" t="s">
        <v>21</v>
      </c>
      <c r="F475" s="2" t="s">
        <v>32</v>
      </c>
      <c r="G475">
        <v>1</v>
      </c>
      <c r="H475" s="2" t="s">
        <v>30</v>
      </c>
      <c r="I475" s="2" t="s">
        <v>85</v>
      </c>
      <c r="L475" s="2">
        <f>N(correct_ratio_df__2[[#This Row],[correct_ratio]]&gt;0)</f>
        <v>1</v>
      </c>
      <c r="M475" s="2">
        <f>N(correct_ratio_df__2[[#This Row],[correct_ratio]]=1)</f>
        <v>1</v>
      </c>
      <c r="N475" s="2">
        <f>correct_ratio_df__2[[#This Row],[calc available]]-correct_ratio_df__2[[#This Row],[clac stable]]</f>
        <v>0</v>
      </c>
    </row>
    <row r="476" spans="1:14" x14ac:dyDescent="0.2">
      <c r="A476">
        <v>474</v>
      </c>
      <c r="B476" s="2" t="s">
        <v>75</v>
      </c>
      <c r="C476" s="2" t="s">
        <v>14</v>
      </c>
      <c r="D476" s="2" t="s">
        <v>17</v>
      </c>
      <c r="E476" s="2" t="s">
        <v>21</v>
      </c>
      <c r="F476" s="2" t="s">
        <v>32</v>
      </c>
      <c r="G476">
        <v>1</v>
      </c>
      <c r="H476" s="2" t="s">
        <v>30</v>
      </c>
      <c r="I476" s="2" t="s">
        <v>85</v>
      </c>
      <c r="L476" s="2">
        <f>N(correct_ratio_df__2[[#This Row],[correct_ratio]]&gt;0)</f>
        <v>1</v>
      </c>
      <c r="M476" s="2">
        <f>N(correct_ratio_df__2[[#This Row],[correct_ratio]]=1)</f>
        <v>1</v>
      </c>
      <c r="N476" s="2">
        <f>correct_ratio_df__2[[#This Row],[calc available]]-correct_ratio_df__2[[#This Row],[clac stable]]</f>
        <v>0</v>
      </c>
    </row>
    <row r="477" spans="1:14" x14ac:dyDescent="0.2">
      <c r="A477">
        <v>475</v>
      </c>
      <c r="B477" s="2" t="s">
        <v>76</v>
      </c>
      <c r="C477" s="2" t="s">
        <v>14</v>
      </c>
      <c r="D477" s="2" t="s">
        <v>10</v>
      </c>
      <c r="E477" s="2" t="s">
        <v>21</v>
      </c>
      <c r="F477" s="2" t="s">
        <v>32</v>
      </c>
      <c r="G477">
        <v>1</v>
      </c>
      <c r="H477" s="2" t="s">
        <v>30</v>
      </c>
      <c r="I477" s="2" t="s">
        <v>85</v>
      </c>
      <c r="L477" s="2">
        <f>N(correct_ratio_df__2[[#This Row],[correct_ratio]]&gt;0)</f>
        <v>1</v>
      </c>
      <c r="M477" s="2">
        <f>N(correct_ratio_df__2[[#This Row],[correct_ratio]]=1)</f>
        <v>1</v>
      </c>
      <c r="N477" s="2">
        <f>correct_ratio_df__2[[#This Row],[calc available]]-correct_ratio_df__2[[#This Row],[clac stable]]</f>
        <v>0</v>
      </c>
    </row>
    <row r="478" spans="1:14" x14ac:dyDescent="0.2">
      <c r="A478">
        <v>476</v>
      </c>
      <c r="B478" s="2" t="s">
        <v>77</v>
      </c>
      <c r="C478" s="2" t="s">
        <v>9</v>
      </c>
      <c r="D478" s="2" t="s">
        <v>17</v>
      </c>
      <c r="E478" s="2" t="s">
        <v>15</v>
      </c>
      <c r="F478" s="2" t="s">
        <v>32</v>
      </c>
      <c r="G478">
        <v>0</v>
      </c>
      <c r="H478" s="2" t="s">
        <v>30</v>
      </c>
      <c r="I478" s="2" t="s">
        <v>85</v>
      </c>
      <c r="L478" s="2">
        <f>N(correct_ratio_df__2[[#This Row],[correct_ratio]]&gt;0)</f>
        <v>0</v>
      </c>
      <c r="M478" s="2">
        <f>N(correct_ratio_df__2[[#This Row],[correct_ratio]]=1)</f>
        <v>0</v>
      </c>
      <c r="N478" s="2">
        <f>correct_ratio_df__2[[#This Row],[calc available]]-correct_ratio_df__2[[#This Row],[clac stable]]</f>
        <v>0</v>
      </c>
    </row>
    <row r="479" spans="1:14" x14ac:dyDescent="0.2">
      <c r="A479">
        <v>477</v>
      </c>
      <c r="B479" s="2" t="s">
        <v>78</v>
      </c>
      <c r="C479" s="2" t="s">
        <v>9</v>
      </c>
      <c r="D479" s="2" t="s">
        <v>17</v>
      </c>
      <c r="E479" s="2" t="s">
        <v>21</v>
      </c>
      <c r="F479" s="2" t="s">
        <v>32</v>
      </c>
      <c r="G479">
        <v>1</v>
      </c>
      <c r="H479" s="2" t="s">
        <v>30</v>
      </c>
      <c r="I479" s="2" t="s">
        <v>85</v>
      </c>
      <c r="L479" s="2">
        <f>N(correct_ratio_df__2[[#This Row],[correct_ratio]]&gt;0)</f>
        <v>1</v>
      </c>
      <c r="M479" s="2">
        <f>N(correct_ratio_df__2[[#This Row],[correct_ratio]]=1)</f>
        <v>1</v>
      </c>
      <c r="N479" s="2">
        <f>correct_ratio_df__2[[#This Row],[calc available]]-correct_ratio_df__2[[#This Row],[clac stable]]</f>
        <v>0</v>
      </c>
    </row>
    <row r="480" spans="1:14" x14ac:dyDescent="0.2">
      <c r="A480">
        <v>478</v>
      </c>
      <c r="B480" s="2" t="s">
        <v>79</v>
      </c>
      <c r="C480" s="2" t="s">
        <v>14</v>
      </c>
      <c r="D480" s="2" t="s">
        <v>17</v>
      </c>
      <c r="E480" s="2" t="s">
        <v>11</v>
      </c>
      <c r="F480" s="2" t="s">
        <v>32</v>
      </c>
      <c r="G480">
        <v>0.33333333333333331</v>
      </c>
      <c r="H480" s="2" t="s">
        <v>30</v>
      </c>
      <c r="I480" s="2" t="s">
        <v>85</v>
      </c>
      <c r="L480" s="2">
        <f>N(correct_ratio_df__2[[#This Row],[correct_ratio]]&gt;0)</f>
        <v>1</v>
      </c>
      <c r="M480" s="2">
        <f>N(correct_ratio_df__2[[#This Row],[correct_ratio]]=1)</f>
        <v>0</v>
      </c>
      <c r="N480" s="2">
        <f>correct_ratio_df__2[[#This Row],[calc available]]-correct_ratio_df__2[[#This Row],[clac stable]]</f>
        <v>1</v>
      </c>
    </row>
    <row r="481" spans="1:14" x14ac:dyDescent="0.2">
      <c r="A481">
        <v>479</v>
      </c>
      <c r="B481" s="2" t="s">
        <v>80</v>
      </c>
      <c r="C481" s="2" t="s">
        <v>22</v>
      </c>
      <c r="D481" s="2" t="s">
        <v>20</v>
      </c>
      <c r="E481" s="2" t="s">
        <v>11</v>
      </c>
      <c r="F481" s="2" t="s">
        <v>32</v>
      </c>
      <c r="G481">
        <v>0</v>
      </c>
      <c r="H481" s="2" t="s">
        <v>30</v>
      </c>
      <c r="I481" s="2" t="s">
        <v>85</v>
      </c>
      <c r="L481" s="2">
        <f>N(correct_ratio_df__2[[#This Row],[correct_ratio]]&gt;0)</f>
        <v>0</v>
      </c>
      <c r="M481" s="2">
        <f>N(correct_ratio_df__2[[#This Row],[correct_ratio]]=1)</f>
        <v>0</v>
      </c>
      <c r="N481" s="2">
        <f>correct_ratio_df__2[[#This Row],[calc available]]-correct_ratio_df__2[[#This Row],[clac stable]]</f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96F2-5833-2540-8640-F3D387128B6C}">
  <dimension ref="A1:E7"/>
  <sheetViews>
    <sheetView zoomScale="169" workbookViewId="0">
      <selection activeCell="B3" sqref="B3"/>
    </sheetView>
  </sheetViews>
  <sheetFormatPr baseColWidth="10" defaultRowHeight="16" x14ac:dyDescent="0.2"/>
  <cols>
    <col min="1" max="1" width="18" bestFit="1" customWidth="1"/>
    <col min="2" max="2" width="16" bestFit="1" customWidth="1"/>
    <col min="3" max="5" width="12.1640625" bestFit="1" customWidth="1"/>
  </cols>
  <sheetData>
    <row r="1" spans="1:5" x14ac:dyDescent="0.2">
      <c r="A1" s="1" t="s">
        <v>39</v>
      </c>
      <c r="B1" s="1" t="s">
        <v>33</v>
      </c>
    </row>
    <row r="2" spans="1:5" x14ac:dyDescent="0.2">
      <c r="A2" s="1" t="s">
        <v>35</v>
      </c>
      <c r="B2" t="s">
        <v>30</v>
      </c>
      <c r="C2" t="s">
        <v>24</v>
      </c>
      <c r="D2" t="s">
        <v>13</v>
      </c>
      <c r="E2" t="s">
        <v>34</v>
      </c>
    </row>
    <row r="3" spans="1:5" x14ac:dyDescent="0.2">
      <c r="A3" s="3" t="s">
        <v>85</v>
      </c>
      <c r="B3" s="2">
        <v>24.666666666666664</v>
      </c>
      <c r="C3" s="2">
        <v>28.666666666666668</v>
      </c>
      <c r="D3" s="2">
        <v>33.333333333333336</v>
      </c>
      <c r="E3" s="2">
        <v>86.666666666666657</v>
      </c>
    </row>
    <row r="4" spans="1:5" x14ac:dyDescent="0.2">
      <c r="A4" s="3" t="s">
        <v>90</v>
      </c>
      <c r="B4" s="2">
        <v>28</v>
      </c>
      <c r="C4" s="2">
        <v>33</v>
      </c>
      <c r="D4" s="2">
        <v>38.333333333333336</v>
      </c>
      <c r="E4" s="2">
        <v>99.333333333333343</v>
      </c>
    </row>
    <row r="5" spans="1:5" x14ac:dyDescent="0.2">
      <c r="A5" s="3" t="s">
        <v>86</v>
      </c>
      <c r="B5" s="2">
        <v>34</v>
      </c>
      <c r="C5" s="2">
        <v>35.333333333333336</v>
      </c>
      <c r="D5" s="2">
        <v>36.666666666666671</v>
      </c>
      <c r="E5" s="2">
        <v>106.00000000000001</v>
      </c>
    </row>
    <row r="6" spans="1:5" x14ac:dyDescent="0.2">
      <c r="A6" s="3" t="s">
        <v>87</v>
      </c>
      <c r="B6" s="2">
        <v>33.333333333333329</v>
      </c>
      <c r="C6" s="2">
        <v>33</v>
      </c>
      <c r="D6" s="2">
        <v>35.666666666666664</v>
      </c>
      <c r="E6" s="2">
        <v>102</v>
      </c>
    </row>
    <row r="7" spans="1:5" x14ac:dyDescent="0.2">
      <c r="A7" s="3" t="s">
        <v>34</v>
      </c>
      <c r="B7" s="2">
        <v>119.99999999999999</v>
      </c>
      <c r="C7" s="2">
        <v>130</v>
      </c>
      <c r="D7" s="2">
        <v>144</v>
      </c>
      <c r="E7" s="2">
        <v>394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069D-A553-1C47-919B-31DBA4DB0EA4}">
  <dimension ref="A1:F6"/>
  <sheetViews>
    <sheetView zoomScale="169" workbookViewId="0">
      <selection activeCell="F22" sqref="F22"/>
    </sheetView>
  </sheetViews>
  <sheetFormatPr baseColWidth="10" defaultRowHeight="16" x14ac:dyDescent="0.2"/>
  <cols>
    <col min="1" max="1" width="21" bestFit="1" customWidth="1"/>
    <col min="2" max="2" width="16" bestFit="1" customWidth="1"/>
    <col min="3" max="7" width="12.1640625" bestFit="1" customWidth="1"/>
    <col min="8" max="8" width="4.83203125" bestFit="1" customWidth="1"/>
    <col min="9" max="9" width="12.1640625" bestFit="1" customWidth="1"/>
    <col min="10" max="10" width="6.6640625" bestFit="1" customWidth="1"/>
    <col min="11" max="11" width="11.83203125" bestFit="1" customWidth="1"/>
    <col min="12" max="12" width="14.5" bestFit="1" customWidth="1"/>
    <col min="13" max="15" width="12.1640625" bestFit="1" customWidth="1"/>
    <col min="16" max="16" width="16.6640625" bestFit="1" customWidth="1"/>
    <col min="17" max="17" width="10.5" bestFit="1" customWidth="1"/>
  </cols>
  <sheetData>
    <row r="1" spans="1:6" x14ac:dyDescent="0.2">
      <c r="A1" s="1" t="s">
        <v>84</v>
      </c>
      <c r="B1" s="1" t="s">
        <v>33</v>
      </c>
    </row>
    <row r="2" spans="1:6" x14ac:dyDescent="0.2">
      <c r="A2" s="1" t="s">
        <v>35</v>
      </c>
      <c r="B2" t="s">
        <v>85</v>
      </c>
      <c r="C2" t="s">
        <v>86</v>
      </c>
      <c r="D2" t="s">
        <v>87</v>
      </c>
      <c r="E2" t="s">
        <v>90</v>
      </c>
      <c r="F2" t="s">
        <v>34</v>
      </c>
    </row>
    <row r="3" spans="1:6" x14ac:dyDescent="0.2">
      <c r="A3" s="3" t="s">
        <v>30</v>
      </c>
      <c r="B3" s="2">
        <v>0.61666666666666659</v>
      </c>
      <c r="C3" s="2">
        <v>0.85</v>
      </c>
      <c r="D3" s="2">
        <v>0.83333333333333326</v>
      </c>
      <c r="E3" s="2">
        <v>0.7</v>
      </c>
      <c r="F3" s="2">
        <v>0.75</v>
      </c>
    </row>
    <row r="4" spans="1:6" x14ac:dyDescent="0.2">
      <c r="A4" s="3" t="s">
        <v>24</v>
      </c>
      <c r="B4" s="2">
        <v>0.71666666666666667</v>
      </c>
      <c r="C4" s="2">
        <v>0.88333333333333341</v>
      </c>
      <c r="D4" s="2">
        <v>0.82499999999999996</v>
      </c>
      <c r="E4" s="2">
        <v>0.82499999999999996</v>
      </c>
      <c r="F4" s="2">
        <v>0.8125</v>
      </c>
    </row>
    <row r="5" spans="1:6" x14ac:dyDescent="0.2">
      <c r="A5" s="3" t="s">
        <v>13</v>
      </c>
      <c r="B5" s="2">
        <v>0.83333333333333337</v>
      </c>
      <c r="C5" s="2">
        <v>0.91666666666666674</v>
      </c>
      <c r="D5" s="2">
        <v>0.89166666666666661</v>
      </c>
      <c r="E5" s="2">
        <v>0.95833333333333337</v>
      </c>
      <c r="F5" s="2">
        <v>0.8999999999999998</v>
      </c>
    </row>
    <row r="6" spans="1:6" x14ac:dyDescent="0.2">
      <c r="A6" s="3" t="s">
        <v>34</v>
      </c>
      <c r="B6" s="2">
        <v>0.72222222222222243</v>
      </c>
      <c r="C6" s="2">
        <v>0.8833333333333333</v>
      </c>
      <c r="D6" s="2">
        <v>0.84999999999999987</v>
      </c>
      <c r="E6" s="2">
        <v>0.82777777777777783</v>
      </c>
      <c r="F6" s="2">
        <v>0.8208333333333333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6860-B1EE-8D4D-A831-DF48D76D02E1}">
  <dimension ref="A1:D19"/>
  <sheetViews>
    <sheetView topLeftCell="B1" zoomScale="173" workbookViewId="0">
      <selection activeCell="N21" sqref="N21"/>
    </sheetView>
  </sheetViews>
  <sheetFormatPr baseColWidth="10" defaultRowHeight="16" x14ac:dyDescent="0.2"/>
  <cols>
    <col min="1" max="1" width="12.1640625" bestFit="1" customWidth="1"/>
    <col min="4" max="4" width="12.1640625" bestFit="1" customWidth="1"/>
  </cols>
  <sheetData>
    <row r="1" spans="1:4" x14ac:dyDescent="0.2">
      <c r="C1" t="s">
        <v>8</v>
      </c>
      <c r="D1" t="s">
        <v>37</v>
      </c>
    </row>
    <row r="2" spans="1:4" x14ac:dyDescent="0.2">
      <c r="A2" s="5" t="s">
        <v>30</v>
      </c>
      <c r="B2" s="6"/>
      <c r="C2" s="6"/>
    </row>
    <row r="3" spans="1:4" x14ac:dyDescent="0.2">
      <c r="A3" s="7"/>
      <c r="B3" s="4" t="s">
        <v>85</v>
      </c>
      <c r="C3" s="2">
        <v>0.47499999999999998</v>
      </c>
      <c r="D3" s="2">
        <v>0.27500000000000002</v>
      </c>
    </row>
    <row r="4" spans="1:4" x14ac:dyDescent="0.2">
      <c r="B4" s="4" t="s">
        <v>86</v>
      </c>
      <c r="C4" s="2">
        <v>0.8</v>
      </c>
      <c r="D4" s="2">
        <v>7.4999999999999997E-2</v>
      </c>
    </row>
    <row r="5" spans="1:4" x14ac:dyDescent="0.2">
      <c r="B5" s="4" t="s">
        <v>87</v>
      </c>
      <c r="C5" s="2">
        <v>0.82499999999999996</v>
      </c>
      <c r="D5" s="2">
        <v>2.5000000000000001E-2</v>
      </c>
    </row>
    <row r="6" spans="1:4" x14ac:dyDescent="0.2">
      <c r="B6" s="4" t="s">
        <v>90</v>
      </c>
      <c r="C6" s="2">
        <v>0.55000000000000004</v>
      </c>
      <c r="D6" s="2">
        <v>0.27500000000000002</v>
      </c>
    </row>
    <row r="8" spans="1:4" x14ac:dyDescent="0.2">
      <c r="A8" s="5" t="s">
        <v>24</v>
      </c>
      <c r="B8" s="6"/>
      <c r="C8" s="6"/>
    </row>
    <row r="9" spans="1:4" x14ac:dyDescent="0.2">
      <c r="A9" s="7"/>
      <c r="B9" s="4" t="s">
        <v>85</v>
      </c>
      <c r="C9" s="2">
        <v>0.55000000000000004</v>
      </c>
      <c r="D9" s="2">
        <v>0.3</v>
      </c>
    </row>
    <row r="10" spans="1:4" x14ac:dyDescent="0.2">
      <c r="B10" s="4" t="s">
        <v>86</v>
      </c>
      <c r="C10" s="2">
        <v>0.82499999999999996</v>
      </c>
      <c r="D10" s="2">
        <v>0.1</v>
      </c>
    </row>
    <row r="11" spans="1:4" x14ac:dyDescent="0.2">
      <c r="B11" s="4" t="s">
        <v>87</v>
      </c>
      <c r="C11" s="2">
        <v>0.75</v>
      </c>
      <c r="D11" s="2">
        <v>0.125</v>
      </c>
    </row>
    <row r="12" spans="1:4" x14ac:dyDescent="0.2">
      <c r="B12" s="4" t="s">
        <v>90</v>
      </c>
      <c r="C12" s="2">
        <v>0.77500000000000002</v>
      </c>
      <c r="D12" s="2">
        <v>0.1</v>
      </c>
    </row>
    <row r="14" spans="1:4" x14ac:dyDescent="0.2">
      <c r="A14" s="5" t="s">
        <v>13</v>
      </c>
      <c r="B14" s="6"/>
      <c r="C14" s="6"/>
    </row>
    <row r="15" spans="1:4" x14ac:dyDescent="0.2">
      <c r="A15" s="7"/>
      <c r="B15" s="4" t="s">
        <v>85</v>
      </c>
      <c r="C15" s="2">
        <v>0.7</v>
      </c>
      <c r="D15" s="2">
        <v>0.22500000000000001</v>
      </c>
    </row>
    <row r="16" spans="1:4" x14ac:dyDescent="0.2">
      <c r="B16" s="4" t="s">
        <v>86</v>
      </c>
      <c r="C16" s="2">
        <v>0.875</v>
      </c>
      <c r="D16" s="2">
        <v>7.4999999999999997E-2</v>
      </c>
    </row>
    <row r="17" spans="1:4" x14ac:dyDescent="0.2">
      <c r="B17" s="4" t="s">
        <v>87</v>
      </c>
      <c r="C17" s="2">
        <v>0.82499999999999996</v>
      </c>
      <c r="D17" s="2">
        <v>0.125</v>
      </c>
    </row>
    <row r="18" spans="1:4" x14ac:dyDescent="0.2">
      <c r="B18" s="4" t="s">
        <v>90</v>
      </c>
      <c r="C18" s="2">
        <v>0.92500000000000004</v>
      </c>
      <c r="D18" s="2">
        <v>0.05</v>
      </c>
    </row>
    <row r="19" spans="1:4" x14ac:dyDescent="0.2">
      <c r="A19" s="5"/>
      <c r="B19" s="4" t="s">
        <v>38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C673-6C97-2242-8C76-21F9B26ECA9A}">
  <dimension ref="B3:D19"/>
  <sheetViews>
    <sheetView zoomScale="216" workbookViewId="0">
      <selection activeCell="B15" sqref="B15:D18"/>
    </sheetView>
  </sheetViews>
  <sheetFormatPr baseColWidth="10" defaultRowHeight="16" x14ac:dyDescent="0.2"/>
  <cols>
    <col min="2" max="2" width="15.6640625" bestFit="1" customWidth="1"/>
    <col min="3" max="3" width="15.33203125" bestFit="1" customWidth="1"/>
    <col min="4" max="4" width="21.6640625" bestFit="1" customWidth="1"/>
    <col min="5" max="5" width="14.5" bestFit="1" customWidth="1"/>
  </cols>
  <sheetData>
    <row r="3" spans="2:4" x14ac:dyDescent="0.2">
      <c r="B3" s="1" t="s">
        <v>35</v>
      </c>
      <c r="C3" t="s">
        <v>92</v>
      </c>
      <c r="D3" t="s">
        <v>91</v>
      </c>
    </row>
    <row r="4" spans="2:4" x14ac:dyDescent="0.2">
      <c r="B4" s="3" t="s">
        <v>30</v>
      </c>
      <c r="C4" s="2">
        <v>0.66249999999999998</v>
      </c>
      <c r="D4" s="2">
        <v>0.16250000000000001</v>
      </c>
    </row>
    <row r="5" spans="2:4" x14ac:dyDescent="0.2">
      <c r="B5" s="4" t="s">
        <v>85</v>
      </c>
      <c r="C5" s="2">
        <v>0.47499999999999998</v>
      </c>
      <c r="D5" s="2">
        <v>0.27500000000000002</v>
      </c>
    </row>
    <row r="6" spans="2:4" x14ac:dyDescent="0.2">
      <c r="B6" s="4" t="s">
        <v>86</v>
      </c>
      <c r="C6" s="2">
        <v>0.8</v>
      </c>
      <c r="D6" s="2">
        <v>7.4999999999999997E-2</v>
      </c>
    </row>
    <row r="7" spans="2:4" x14ac:dyDescent="0.2">
      <c r="B7" s="4" t="s">
        <v>87</v>
      </c>
      <c r="C7" s="2">
        <v>0.82499999999999996</v>
      </c>
      <c r="D7" s="2">
        <v>2.5000000000000001E-2</v>
      </c>
    </row>
    <row r="8" spans="2:4" x14ac:dyDescent="0.2">
      <c r="B8" s="4" t="s">
        <v>90</v>
      </c>
      <c r="C8" s="2">
        <v>0.55000000000000004</v>
      </c>
      <c r="D8" s="2">
        <v>0.27500000000000002</v>
      </c>
    </row>
    <row r="9" spans="2:4" x14ac:dyDescent="0.2">
      <c r="B9" s="3" t="s">
        <v>24</v>
      </c>
      <c r="C9" s="2">
        <v>0.72499999999999998</v>
      </c>
      <c r="D9" s="2">
        <v>0.15625</v>
      </c>
    </row>
    <row r="10" spans="2:4" x14ac:dyDescent="0.2">
      <c r="B10" s="4" t="s">
        <v>85</v>
      </c>
      <c r="C10" s="2">
        <v>0.55000000000000004</v>
      </c>
      <c r="D10" s="2">
        <v>0.3</v>
      </c>
    </row>
    <row r="11" spans="2:4" x14ac:dyDescent="0.2">
      <c r="B11" s="4" t="s">
        <v>86</v>
      </c>
      <c r="C11" s="2">
        <v>0.82499999999999996</v>
      </c>
      <c r="D11" s="2">
        <v>0.1</v>
      </c>
    </row>
    <row r="12" spans="2:4" x14ac:dyDescent="0.2">
      <c r="B12" s="4" t="s">
        <v>87</v>
      </c>
      <c r="C12" s="2">
        <v>0.75</v>
      </c>
      <c r="D12" s="2">
        <v>0.125</v>
      </c>
    </row>
    <row r="13" spans="2:4" x14ac:dyDescent="0.2">
      <c r="B13" s="4" t="s">
        <v>90</v>
      </c>
      <c r="C13" s="2">
        <v>0.77500000000000002</v>
      </c>
      <c r="D13" s="2">
        <v>0.1</v>
      </c>
    </row>
    <row r="14" spans="2:4" x14ac:dyDescent="0.2">
      <c r="B14" s="3" t="s">
        <v>13</v>
      </c>
      <c r="C14" s="2">
        <v>0.83125000000000004</v>
      </c>
      <c r="D14" s="2">
        <v>0.11874999999999999</v>
      </c>
    </row>
    <row r="15" spans="2:4" x14ac:dyDescent="0.2">
      <c r="B15" s="4" t="s">
        <v>85</v>
      </c>
      <c r="C15" s="2">
        <v>0.7</v>
      </c>
      <c r="D15" s="2">
        <v>0.22500000000000001</v>
      </c>
    </row>
    <row r="16" spans="2:4" x14ac:dyDescent="0.2">
      <c r="B16" s="4" t="s">
        <v>86</v>
      </c>
      <c r="C16" s="2">
        <v>0.875</v>
      </c>
      <c r="D16" s="2">
        <v>7.4999999999999997E-2</v>
      </c>
    </row>
    <row r="17" spans="2:4" x14ac:dyDescent="0.2">
      <c r="B17" s="4" t="s">
        <v>87</v>
      </c>
      <c r="C17" s="2">
        <v>0.82499999999999996</v>
      </c>
      <c r="D17" s="2">
        <v>0.125</v>
      </c>
    </row>
    <row r="18" spans="2:4" x14ac:dyDescent="0.2">
      <c r="B18" s="4" t="s">
        <v>90</v>
      </c>
      <c r="C18" s="2">
        <v>0.92500000000000004</v>
      </c>
      <c r="D18" s="2">
        <v>0.05</v>
      </c>
    </row>
    <row r="19" spans="2:4" x14ac:dyDescent="0.2">
      <c r="B19" s="3" t="s">
        <v>34</v>
      </c>
      <c r="C19" s="2">
        <v>0.73958333333333337</v>
      </c>
      <c r="D19" s="2">
        <v>0.14583333333333334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9F1A-CB1C-C940-AEC3-D5412A92B92F}">
  <dimension ref="A1:L481"/>
  <sheetViews>
    <sheetView topLeftCell="A2" workbookViewId="0">
      <selection activeCell="L3" sqref="L3"/>
    </sheetView>
  </sheetViews>
  <sheetFormatPr baseColWidth="10" defaultRowHeight="16" x14ac:dyDescent="0.2"/>
  <cols>
    <col min="1" max="1" width="11.1640625" bestFit="1" customWidth="1"/>
    <col min="2" max="2" width="26.83203125" bestFit="1" customWidth="1"/>
    <col min="3" max="3" width="23.6640625" bestFit="1" customWidth="1"/>
    <col min="4" max="4" width="18.5" bestFit="1" customWidth="1"/>
    <col min="5" max="5" width="15.5" bestFit="1" customWidth="1"/>
    <col min="6" max="6" width="24.83203125" bestFit="1" customWidth="1"/>
    <col min="7" max="7" width="14.33203125" bestFit="1" customWidth="1"/>
    <col min="8" max="8" width="12.1640625" bestFit="1" customWidth="1"/>
    <col min="9" max="9" width="8.83203125" bestFit="1" customWidth="1"/>
    <col min="10" max="10" width="11" bestFit="1" customWidth="1"/>
    <col min="11" max="11" width="8.83203125" bestFit="1" customWidth="1"/>
    <col min="12" max="12" width="14.6640625" bestFit="1" customWidth="1"/>
  </cols>
  <sheetData>
    <row r="1" spans="1:12" x14ac:dyDescent="0.2">
      <c r="A1" t="s">
        <v>36</v>
      </c>
      <c r="B1" t="s">
        <v>40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37</v>
      </c>
    </row>
    <row r="2" spans="1:12" x14ac:dyDescent="0.2">
      <c r="A2">
        <v>0</v>
      </c>
      <c r="B2" s="2" t="s">
        <v>41</v>
      </c>
      <c r="C2" s="2" t="s">
        <v>9</v>
      </c>
      <c r="D2" s="2" t="s">
        <v>10</v>
      </c>
      <c r="E2" s="2" t="s">
        <v>11</v>
      </c>
      <c r="F2" s="2" t="s">
        <v>12</v>
      </c>
      <c r="G2">
        <v>1</v>
      </c>
      <c r="H2" s="2" t="s">
        <v>13</v>
      </c>
      <c r="I2" s="2" t="s">
        <v>85</v>
      </c>
      <c r="J2">
        <v>1</v>
      </c>
      <c r="K2">
        <v>1</v>
      </c>
      <c r="L2">
        <f>correct_ratio_df__3[[#This Row],[available]]-correct_ratio_df__3[[#This Row],[stable]]</f>
        <v>0</v>
      </c>
    </row>
    <row r="3" spans="1:12" x14ac:dyDescent="0.2">
      <c r="A3">
        <v>1</v>
      </c>
      <c r="B3" s="2" t="s">
        <v>42</v>
      </c>
      <c r="C3" s="2" t="s">
        <v>14</v>
      </c>
      <c r="D3" s="2" t="s">
        <v>10</v>
      </c>
      <c r="E3" s="2" t="s">
        <v>15</v>
      </c>
      <c r="F3" s="2" t="s">
        <v>12</v>
      </c>
      <c r="G3">
        <v>0.66666666666666663</v>
      </c>
      <c r="H3" s="2" t="s">
        <v>13</v>
      </c>
      <c r="I3" s="2" t="s">
        <v>85</v>
      </c>
      <c r="J3">
        <v>1</v>
      </c>
      <c r="K3">
        <v>0</v>
      </c>
      <c r="L3">
        <f>correct_ratio_df__3[[#This Row],[available]]-correct_ratio_df__3[[#This Row],[stable]]</f>
        <v>1</v>
      </c>
    </row>
    <row r="4" spans="1:12" x14ac:dyDescent="0.2">
      <c r="A4">
        <v>2</v>
      </c>
      <c r="B4" s="2" t="s">
        <v>43</v>
      </c>
      <c r="C4" s="2" t="s">
        <v>16</v>
      </c>
      <c r="D4" s="2" t="s">
        <v>17</v>
      </c>
      <c r="E4" s="2" t="s">
        <v>11</v>
      </c>
      <c r="F4" s="2" t="s">
        <v>12</v>
      </c>
      <c r="G4">
        <v>1</v>
      </c>
      <c r="H4" s="2" t="s">
        <v>13</v>
      </c>
      <c r="I4" s="2" t="s">
        <v>85</v>
      </c>
      <c r="J4">
        <v>1</v>
      </c>
      <c r="K4">
        <v>1</v>
      </c>
      <c r="L4">
        <f>correct_ratio_df__3[[#This Row],[available]]-correct_ratio_df__3[[#This Row],[stable]]</f>
        <v>0</v>
      </c>
    </row>
    <row r="5" spans="1:12" x14ac:dyDescent="0.2">
      <c r="A5">
        <v>3</v>
      </c>
      <c r="B5" s="2" t="s">
        <v>44</v>
      </c>
      <c r="C5" s="2" t="s">
        <v>16</v>
      </c>
      <c r="D5" s="2" t="s">
        <v>10</v>
      </c>
      <c r="E5" s="2" t="s">
        <v>15</v>
      </c>
      <c r="F5" s="2" t="s">
        <v>12</v>
      </c>
      <c r="G5">
        <v>1</v>
      </c>
      <c r="H5" s="2" t="s">
        <v>13</v>
      </c>
      <c r="I5" s="2" t="s">
        <v>85</v>
      </c>
      <c r="J5">
        <v>1</v>
      </c>
      <c r="K5">
        <v>1</v>
      </c>
      <c r="L5">
        <f>correct_ratio_df__3[[#This Row],[available]]-correct_ratio_df__3[[#This Row],[stable]]</f>
        <v>0</v>
      </c>
    </row>
    <row r="6" spans="1:12" x14ac:dyDescent="0.2">
      <c r="A6">
        <v>4</v>
      </c>
      <c r="B6" s="2" t="s">
        <v>45</v>
      </c>
      <c r="C6" s="2" t="s">
        <v>14</v>
      </c>
      <c r="D6" s="2" t="s">
        <v>18</v>
      </c>
      <c r="E6" s="2" t="s">
        <v>15</v>
      </c>
      <c r="F6" s="2" t="s">
        <v>12</v>
      </c>
      <c r="G6">
        <v>1</v>
      </c>
      <c r="H6" s="2" t="s">
        <v>13</v>
      </c>
      <c r="I6" s="2" t="s">
        <v>85</v>
      </c>
      <c r="J6">
        <v>1</v>
      </c>
      <c r="K6">
        <v>1</v>
      </c>
      <c r="L6">
        <f>correct_ratio_df__3[[#This Row],[available]]-correct_ratio_df__3[[#This Row],[stable]]</f>
        <v>0</v>
      </c>
    </row>
    <row r="7" spans="1:12" x14ac:dyDescent="0.2">
      <c r="A7">
        <v>5</v>
      </c>
      <c r="B7" s="2" t="s">
        <v>46</v>
      </c>
      <c r="C7" s="2" t="s">
        <v>14</v>
      </c>
      <c r="D7" s="2" t="s">
        <v>10</v>
      </c>
      <c r="E7" s="2" t="s">
        <v>15</v>
      </c>
      <c r="F7" s="2" t="s">
        <v>12</v>
      </c>
      <c r="G7">
        <v>1</v>
      </c>
      <c r="H7" s="2" t="s">
        <v>13</v>
      </c>
      <c r="I7" s="2" t="s">
        <v>85</v>
      </c>
      <c r="J7">
        <v>1</v>
      </c>
      <c r="K7">
        <v>1</v>
      </c>
      <c r="L7">
        <f>correct_ratio_df__3[[#This Row],[available]]-correct_ratio_df__3[[#This Row],[stable]]</f>
        <v>0</v>
      </c>
    </row>
    <row r="8" spans="1:12" x14ac:dyDescent="0.2">
      <c r="A8">
        <v>6</v>
      </c>
      <c r="B8" s="2" t="s">
        <v>47</v>
      </c>
      <c r="C8" s="2" t="s">
        <v>19</v>
      </c>
      <c r="D8" s="2" t="s">
        <v>10</v>
      </c>
      <c r="E8" s="2" t="s">
        <v>15</v>
      </c>
      <c r="F8" s="2" t="s">
        <v>12</v>
      </c>
      <c r="G8">
        <v>1</v>
      </c>
      <c r="H8" s="2" t="s">
        <v>13</v>
      </c>
      <c r="I8" s="2" t="s">
        <v>85</v>
      </c>
      <c r="J8">
        <v>1</v>
      </c>
      <c r="K8">
        <v>1</v>
      </c>
      <c r="L8">
        <f>correct_ratio_df__3[[#This Row],[available]]-correct_ratio_df__3[[#This Row],[stable]]</f>
        <v>0</v>
      </c>
    </row>
    <row r="9" spans="1:12" x14ac:dyDescent="0.2">
      <c r="A9">
        <v>7</v>
      </c>
      <c r="B9" s="2" t="s">
        <v>48</v>
      </c>
      <c r="C9" s="2" t="s">
        <v>16</v>
      </c>
      <c r="D9" s="2" t="s">
        <v>20</v>
      </c>
      <c r="E9" s="2" t="s">
        <v>21</v>
      </c>
      <c r="F9" s="2" t="s">
        <v>12</v>
      </c>
      <c r="G9">
        <v>1</v>
      </c>
      <c r="H9" s="2" t="s">
        <v>13</v>
      </c>
      <c r="I9" s="2" t="s">
        <v>85</v>
      </c>
      <c r="J9">
        <v>1</v>
      </c>
      <c r="K9">
        <v>1</v>
      </c>
      <c r="L9">
        <f>correct_ratio_df__3[[#This Row],[available]]-correct_ratio_df__3[[#This Row],[stable]]</f>
        <v>0</v>
      </c>
    </row>
    <row r="10" spans="1:12" x14ac:dyDescent="0.2">
      <c r="A10">
        <v>8</v>
      </c>
      <c r="B10" s="2" t="s">
        <v>49</v>
      </c>
      <c r="C10" s="2" t="s">
        <v>16</v>
      </c>
      <c r="D10" s="2" t="s">
        <v>10</v>
      </c>
      <c r="E10" s="2" t="s">
        <v>21</v>
      </c>
      <c r="F10" s="2" t="s">
        <v>12</v>
      </c>
      <c r="G10">
        <v>1</v>
      </c>
      <c r="H10" s="2" t="s">
        <v>13</v>
      </c>
      <c r="I10" s="2" t="s">
        <v>85</v>
      </c>
      <c r="J10">
        <v>1</v>
      </c>
      <c r="K10">
        <v>1</v>
      </c>
      <c r="L10">
        <f>correct_ratio_df__3[[#This Row],[available]]-correct_ratio_df__3[[#This Row],[stable]]</f>
        <v>0</v>
      </c>
    </row>
    <row r="11" spans="1:12" x14ac:dyDescent="0.2">
      <c r="A11">
        <v>9</v>
      </c>
      <c r="B11" s="2" t="s">
        <v>50</v>
      </c>
      <c r="C11" s="2" t="s">
        <v>9</v>
      </c>
      <c r="D11" s="2" t="s">
        <v>17</v>
      </c>
      <c r="E11" s="2" t="s">
        <v>21</v>
      </c>
      <c r="F11" s="2" t="s">
        <v>12</v>
      </c>
      <c r="G11">
        <v>1</v>
      </c>
      <c r="H11" s="2" t="s">
        <v>13</v>
      </c>
      <c r="I11" s="2" t="s">
        <v>85</v>
      </c>
      <c r="J11">
        <v>1</v>
      </c>
      <c r="K11">
        <v>1</v>
      </c>
      <c r="L11">
        <f>correct_ratio_df__3[[#This Row],[available]]-correct_ratio_df__3[[#This Row],[stable]]</f>
        <v>0</v>
      </c>
    </row>
    <row r="12" spans="1:12" x14ac:dyDescent="0.2">
      <c r="A12">
        <v>10</v>
      </c>
      <c r="B12" s="2" t="s">
        <v>51</v>
      </c>
      <c r="C12" s="2" t="s">
        <v>16</v>
      </c>
      <c r="D12" s="2" t="s">
        <v>17</v>
      </c>
      <c r="E12" s="2" t="s">
        <v>11</v>
      </c>
      <c r="F12" s="2" t="s">
        <v>12</v>
      </c>
      <c r="G12">
        <v>1</v>
      </c>
      <c r="H12" s="2" t="s">
        <v>13</v>
      </c>
      <c r="I12" s="2" t="s">
        <v>85</v>
      </c>
      <c r="J12">
        <v>1</v>
      </c>
      <c r="K12">
        <v>1</v>
      </c>
      <c r="L12">
        <f>correct_ratio_df__3[[#This Row],[available]]-correct_ratio_df__3[[#This Row],[stable]]</f>
        <v>0</v>
      </c>
    </row>
    <row r="13" spans="1:12" x14ac:dyDescent="0.2">
      <c r="A13">
        <v>11</v>
      </c>
      <c r="B13" s="2" t="s">
        <v>52</v>
      </c>
      <c r="C13" s="2" t="s">
        <v>9</v>
      </c>
      <c r="D13" s="2" t="s">
        <v>17</v>
      </c>
      <c r="E13" s="2" t="s">
        <v>15</v>
      </c>
      <c r="F13" s="2" t="s">
        <v>12</v>
      </c>
      <c r="G13">
        <v>1</v>
      </c>
      <c r="H13" s="2" t="s">
        <v>13</v>
      </c>
      <c r="I13" s="2" t="s">
        <v>85</v>
      </c>
      <c r="J13">
        <v>1</v>
      </c>
      <c r="K13">
        <v>1</v>
      </c>
      <c r="L13">
        <f>correct_ratio_df__3[[#This Row],[available]]-correct_ratio_df__3[[#This Row],[stable]]</f>
        <v>0</v>
      </c>
    </row>
    <row r="14" spans="1:12" x14ac:dyDescent="0.2">
      <c r="A14">
        <v>12</v>
      </c>
      <c r="B14" s="2" t="s">
        <v>53</v>
      </c>
      <c r="C14" s="2" t="s">
        <v>19</v>
      </c>
      <c r="D14" s="2" t="s">
        <v>17</v>
      </c>
      <c r="E14" s="2" t="s">
        <v>21</v>
      </c>
      <c r="F14" s="2" t="s">
        <v>12</v>
      </c>
      <c r="G14">
        <v>1</v>
      </c>
      <c r="H14" s="2" t="s">
        <v>13</v>
      </c>
      <c r="I14" s="2" t="s">
        <v>85</v>
      </c>
      <c r="J14">
        <v>1</v>
      </c>
      <c r="K14">
        <v>1</v>
      </c>
      <c r="L14">
        <f>correct_ratio_df__3[[#This Row],[available]]-correct_ratio_df__3[[#This Row],[stable]]</f>
        <v>0</v>
      </c>
    </row>
    <row r="15" spans="1:12" x14ac:dyDescent="0.2">
      <c r="A15">
        <v>13</v>
      </c>
      <c r="B15" s="2" t="s">
        <v>54</v>
      </c>
      <c r="C15" s="2" t="s">
        <v>14</v>
      </c>
      <c r="D15" s="2" t="s">
        <v>17</v>
      </c>
      <c r="E15" s="2" t="s">
        <v>15</v>
      </c>
      <c r="F15" s="2" t="s">
        <v>12</v>
      </c>
      <c r="G15">
        <v>0</v>
      </c>
      <c r="H15" s="2" t="s">
        <v>13</v>
      </c>
      <c r="I15" s="2" t="s">
        <v>85</v>
      </c>
      <c r="J15">
        <v>0</v>
      </c>
      <c r="K15">
        <v>0</v>
      </c>
      <c r="L15">
        <f>correct_ratio_df__3[[#This Row],[available]]-correct_ratio_df__3[[#This Row],[stable]]</f>
        <v>0</v>
      </c>
    </row>
    <row r="16" spans="1:12" x14ac:dyDescent="0.2">
      <c r="A16">
        <v>14</v>
      </c>
      <c r="B16" s="2" t="s">
        <v>55</v>
      </c>
      <c r="C16" s="2" t="s">
        <v>9</v>
      </c>
      <c r="D16" s="2" t="s">
        <v>18</v>
      </c>
      <c r="E16" s="2" t="s">
        <v>21</v>
      </c>
      <c r="F16" s="2" t="s">
        <v>12</v>
      </c>
      <c r="G16">
        <v>0.66666666666666663</v>
      </c>
      <c r="H16" s="2" t="s">
        <v>13</v>
      </c>
      <c r="I16" s="2" t="s">
        <v>85</v>
      </c>
      <c r="J16">
        <v>1</v>
      </c>
      <c r="K16">
        <v>0</v>
      </c>
      <c r="L16">
        <f>correct_ratio_df__3[[#This Row],[available]]-correct_ratio_df__3[[#This Row],[stable]]</f>
        <v>1</v>
      </c>
    </row>
    <row r="17" spans="1:12" x14ac:dyDescent="0.2">
      <c r="A17">
        <v>15</v>
      </c>
      <c r="B17" s="2" t="s">
        <v>56</v>
      </c>
      <c r="C17" s="2" t="s">
        <v>19</v>
      </c>
      <c r="D17" s="2" t="s">
        <v>17</v>
      </c>
      <c r="E17" s="2" t="s">
        <v>21</v>
      </c>
      <c r="F17" s="2" t="s">
        <v>12</v>
      </c>
      <c r="G17">
        <v>1</v>
      </c>
      <c r="H17" s="2" t="s">
        <v>13</v>
      </c>
      <c r="I17" s="2" t="s">
        <v>85</v>
      </c>
      <c r="J17">
        <v>1</v>
      </c>
      <c r="K17">
        <v>1</v>
      </c>
      <c r="L17">
        <f>correct_ratio_df__3[[#This Row],[available]]-correct_ratio_df__3[[#This Row],[stable]]</f>
        <v>0</v>
      </c>
    </row>
    <row r="18" spans="1:12" x14ac:dyDescent="0.2">
      <c r="A18">
        <v>16</v>
      </c>
      <c r="B18" s="2" t="s">
        <v>57</v>
      </c>
      <c r="C18" s="2" t="s">
        <v>9</v>
      </c>
      <c r="D18" s="2" t="s">
        <v>17</v>
      </c>
      <c r="E18" s="2" t="s">
        <v>21</v>
      </c>
      <c r="F18" s="2" t="s">
        <v>12</v>
      </c>
      <c r="G18">
        <v>1</v>
      </c>
      <c r="H18" s="2" t="s">
        <v>13</v>
      </c>
      <c r="I18" s="2" t="s">
        <v>85</v>
      </c>
      <c r="J18">
        <v>1</v>
      </c>
      <c r="K18">
        <v>1</v>
      </c>
      <c r="L18">
        <f>correct_ratio_df__3[[#This Row],[available]]-correct_ratio_df__3[[#This Row],[stable]]</f>
        <v>0</v>
      </c>
    </row>
    <row r="19" spans="1:12" x14ac:dyDescent="0.2">
      <c r="A19">
        <v>17</v>
      </c>
      <c r="B19" s="2" t="s">
        <v>58</v>
      </c>
      <c r="C19" s="2" t="s">
        <v>9</v>
      </c>
      <c r="D19" s="2" t="s">
        <v>17</v>
      </c>
      <c r="E19" s="2" t="s">
        <v>21</v>
      </c>
      <c r="F19" s="2" t="s">
        <v>12</v>
      </c>
      <c r="G19">
        <v>0.66666666666666663</v>
      </c>
      <c r="H19" s="2" t="s">
        <v>13</v>
      </c>
      <c r="I19" s="2" t="s">
        <v>85</v>
      </c>
      <c r="J19">
        <v>1</v>
      </c>
      <c r="K19">
        <v>0</v>
      </c>
      <c r="L19">
        <f>correct_ratio_df__3[[#This Row],[available]]-correct_ratio_df__3[[#This Row],[stable]]</f>
        <v>1</v>
      </c>
    </row>
    <row r="20" spans="1:12" x14ac:dyDescent="0.2">
      <c r="A20">
        <v>18</v>
      </c>
      <c r="B20" s="2" t="s">
        <v>59</v>
      </c>
      <c r="C20" s="2" t="s">
        <v>19</v>
      </c>
      <c r="D20" s="2" t="s">
        <v>17</v>
      </c>
      <c r="E20" s="2" t="s">
        <v>15</v>
      </c>
      <c r="F20" s="2" t="s">
        <v>12</v>
      </c>
      <c r="G20">
        <v>1</v>
      </c>
      <c r="H20" s="2" t="s">
        <v>13</v>
      </c>
      <c r="I20" s="2" t="s">
        <v>85</v>
      </c>
      <c r="J20">
        <v>1</v>
      </c>
      <c r="K20">
        <v>1</v>
      </c>
      <c r="L20">
        <f>correct_ratio_df__3[[#This Row],[available]]-correct_ratio_df__3[[#This Row],[stable]]</f>
        <v>0</v>
      </c>
    </row>
    <row r="21" spans="1:12" x14ac:dyDescent="0.2">
      <c r="A21">
        <v>19</v>
      </c>
      <c r="B21" s="2" t="s">
        <v>60</v>
      </c>
      <c r="C21" s="2" t="s">
        <v>9</v>
      </c>
      <c r="D21" s="2" t="s">
        <v>17</v>
      </c>
      <c r="E21" s="2" t="s">
        <v>21</v>
      </c>
      <c r="F21" s="2" t="s">
        <v>12</v>
      </c>
      <c r="G21">
        <v>0.33333333333333331</v>
      </c>
      <c r="H21" s="2" t="s">
        <v>13</v>
      </c>
      <c r="I21" s="2" t="s">
        <v>85</v>
      </c>
      <c r="J21">
        <v>1</v>
      </c>
      <c r="K21">
        <v>0</v>
      </c>
      <c r="L21">
        <f>correct_ratio_df__3[[#This Row],[available]]-correct_ratio_df__3[[#This Row],[stable]]</f>
        <v>1</v>
      </c>
    </row>
    <row r="22" spans="1:12" x14ac:dyDescent="0.2">
      <c r="A22">
        <v>20</v>
      </c>
      <c r="B22" s="2" t="s">
        <v>61</v>
      </c>
      <c r="C22" s="2" t="s">
        <v>14</v>
      </c>
      <c r="D22" s="2" t="s">
        <v>10</v>
      </c>
      <c r="E22" s="2" t="s">
        <v>11</v>
      </c>
      <c r="F22" s="2" t="s">
        <v>12</v>
      </c>
      <c r="G22">
        <v>1</v>
      </c>
      <c r="H22" s="2" t="s">
        <v>13</v>
      </c>
      <c r="I22" s="2" t="s">
        <v>85</v>
      </c>
      <c r="J22">
        <v>1</v>
      </c>
      <c r="K22">
        <v>1</v>
      </c>
      <c r="L22">
        <f>correct_ratio_df__3[[#This Row],[available]]-correct_ratio_df__3[[#This Row],[stable]]</f>
        <v>0</v>
      </c>
    </row>
    <row r="23" spans="1:12" x14ac:dyDescent="0.2">
      <c r="A23">
        <v>21</v>
      </c>
      <c r="B23" s="2" t="s">
        <v>62</v>
      </c>
      <c r="C23" s="2" t="s">
        <v>16</v>
      </c>
      <c r="D23" s="2" t="s">
        <v>18</v>
      </c>
      <c r="E23" s="2" t="s">
        <v>11</v>
      </c>
      <c r="F23" s="2" t="s">
        <v>12</v>
      </c>
      <c r="G23">
        <v>0</v>
      </c>
      <c r="H23" s="2" t="s">
        <v>13</v>
      </c>
      <c r="I23" s="2" t="s">
        <v>85</v>
      </c>
      <c r="J23">
        <v>0</v>
      </c>
      <c r="K23">
        <v>0</v>
      </c>
      <c r="L23">
        <f>correct_ratio_df__3[[#This Row],[available]]-correct_ratio_df__3[[#This Row],[stable]]</f>
        <v>0</v>
      </c>
    </row>
    <row r="24" spans="1:12" x14ac:dyDescent="0.2">
      <c r="A24">
        <v>22</v>
      </c>
      <c r="B24" s="2" t="s">
        <v>63</v>
      </c>
      <c r="C24" s="2" t="s">
        <v>9</v>
      </c>
      <c r="D24" s="2" t="s">
        <v>20</v>
      </c>
      <c r="E24" s="2" t="s">
        <v>15</v>
      </c>
      <c r="F24" s="2" t="s">
        <v>12</v>
      </c>
      <c r="G24">
        <v>0</v>
      </c>
      <c r="H24" s="2" t="s">
        <v>13</v>
      </c>
      <c r="I24" s="2" t="s">
        <v>85</v>
      </c>
      <c r="J24">
        <v>0</v>
      </c>
      <c r="K24">
        <v>0</v>
      </c>
      <c r="L24">
        <f>correct_ratio_df__3[[#This Row],[available]]-correct_ratio_df__3[[#This Row],[stable]]</f>
        <v>0</v>
      </c>
    </row>
    <row r="25" spans="1:12" x14ac:dyDescent="0.2">
      <c r="A25">
        <v>23</v>
      </c>
      <c r="B25" s="2" t="s">
        <v>64</v>
      </c>
      <c r="C25" s="2" t="s">
        <v>14</v>
      </c>
      <c r="D25" s="2" t="s">
        <v>17</v>
      </c>
      <c r="E25" s="2" t="s">
        <v>11</v>
      </c>
      <c r="F25" s="2" t="s">
        <v>12</v>
      </c>
      <c r="G25">
        <v>1</v>
      </c>
      <c r="H25" s="2" t="s">
        <v>13</v>
      </c>
      <c r="I25" s="2" t="s">
        <v>85</v>
      </c>
      <c r="J25">
        <v>1</v>
      </c>
      <c r="K25">
        <v>1</v>
      </c>
      <c r="L25">
        <f>correct_ratio_df__3[[#This Row],[available]]-correct_ratio_df__3[[#This Row],[stable]]</f>
        <v>0</v>
      </c>
    </row>
    <row r="26" spans="1:12" x14ac:dyDescent="0.2">
      <c r="A26">
        <v>24</v>
      </c>
      <c r="B26" s="2" t="s">
        <v>65</v>
      </c>
      <c r="C26" s="2" t="s">
        <v>19</v>
      </c>
      <c r="D26" s="2" t="s">
        <v>18</v>
      </c>
      <c r="E26" s="2" t="s">
        <v>21</v>
      </c>
      <c r="F26" s="2" t="s">
        <v>12</v>
      </c>
      <c r="G26">
        <v>1</v>
      </c>
      <c r="H26" s="2" t="s">
        <v>13</v>
      </c>
      <c r="I26" s="2" t="s">
        <v>85</v>
      </c>
      <c r="J26">
        <v>1</v>
      </c>
      <c r="K26">
        <v>1</v>
      </c>
      <c r="L26">
        <f>correct_ratio_df__3[[#This Row],[available]]-correct_ratio_df__3[[#This Row],[stable]]</f>
        <v>0</v>
      </c>
    </row>
    <row r="27" spans="1:12" x14ac:dyDescent="0.2">
      <c r="A27">
        <v>25</v>
      </c>
      <c r="B27" s="2" t="s">
        <v>66</v>
      </c>
      <c r="C27" s="2" t="s">
        <v>14</v>
      </c>
      <c r="D27" s="2" t="s">
        <v>18</v>
      </c>
      <c r="E27" s="2" t="s">
        <v>15</v>
      </c>
      <c r="F27" s="2" t="s">
        <v>12</v>
      </c>
      <c r="G27">
        <v>1</v>
      </c>
      <c r="H27" s="2" t="s">
        <v>13</v>
      </c>
      <c r="I27" s="2" t="s">
        <v>85</v>
      </c>
      <c r="J27">
        <v>1</v>
      </c>
      <c r="K27">
        <v>1</v>
      </c>
      <c r="L27">
        <f>correct_ratio_df__3[[#This Row],[available]]-correct_ratio_df__3[[#This Row],[stable]]</f>
        <v>0</v>
      </c>
    </row>
    <row r="28" spans="1:12" x14ac:dyDescent="0.2">
      <c r="A28">
        <v>26</v>
      </c>
      <c r="B28" s="2" t="s">
        <v>67</v>
      </c>
      <c r="C28" s="2" t="s">
        <v>9</v>
      </c>
      <c r="D28" s="2" t="s">
        <v>17</v>
      </c>
      <c r="E28" s="2" t="s">
        <v>21</v>
      </c>
      <c r="F28" s="2" t="s">
        <v>12</v>
      </c>
      <c r="G28">
        <v>1</v>
      </c>
      <c r="H28" s="2" t="s">
        <v>13</v>
      </c>
      <c r="I28" s="2" t="s">
        <v>85</v>
      </c>
      <c r="J28">
        <v>1</v>
      </c>
      <c r="K28">
        <v>1</v>
      </c>
      <c r="L28">
        <f>correct_ratio_df__3[[#This Row],[available]]-correct_ratio_df__3[[#This Row],[stable]]</f>
        <v>0</v>
      </c>
    </row>
    <row r="29" spans="1:12" x14ac:dyDescent="0.2">
      <c r="A29">
        <v>27</v>
      </c>
      <c r="B29" s="2" t="s">
        <v>68</v>
      </c>
      <c r="C29" s="2" t="s">
        <v>14</v>
      </c>
      <c r="D29" s="2" t="s">
        <v>17</v>
      </c>
      <c r="E29" s="2" t="s">
        <v>15</v>
      </c>
      <c r="F29" s="2" t="s">
        <v>12</v>
      </c>
      <c r="G29">
        <v>1</v>
      </c>
      <c r="H29" s="2" t="s">
        <v>13</v>
      </c>
      <c r="I29" s="2" t="s">
        <v>85</v>
      </c>
      <c r="J29">
        <v>1</v>
      </c>
      <c r="K29">
        <v>1</v>
      </c>
      <c r="L29">
        <f>correct_ratio_df__3[[#This Row],[available]]-correct_ratio_df__3[[#This Row],[stable]]</f>
        <v>0</v>
      </c>
    </row>
    <row r="30" spans="1:12" x14ac:dyDescent="0.2">
      <c r="A30">
        <v>28</v>
      </c>
      <c r="B30" s="2" t="s">
        <v>69</v>
      </c>
      <c r="C30" s="2" t="s">
        <v>22</v>
      </c>
      <c r="D30" s="2" t="s">
        <v>17</v>
      </c>
      <c r="E30" s="2" t="s">
        <v>11</v>
      </c>
      <c r="F30" s="2" t="s">
        <v>12</v>
      </c>
      <c r="G30">
        <v>1</v>
      </c>
      <c r="H30" s="2" t="s">
        <v>13</v>
      </c>
      <c r="I30" s="2" t="s">
        <v>85</v>
      </c>
      <c r="J30">
        <v>1</v>
      </c>
      <c r="K30">
        <v>1</v>
      </c>
      <c r="L30">
        <f>correct_ratio_df__3[[#This Row],[available]]-correct_ratio_df__3[[#This Row],[stable]]</f>
        <v>0</v>
      </c>
    </row>
    <row r="31" spans="1:12" x14ac:dyDescent="0.2">
      <c r="A31">
        <v>29</v>
      </c>
      <c r="B31" s="2" t="s">
        <v>70</v>
      </c>
      <c r="C31" s="2" t="s">
        <v>9</v>
      </c>
      <c r="D31" s="2" t="s">
        <v>17</v>
      </c>
      <c r="E31" s="2" t="s">
        <v>15</v>
      </c>
      <c r="F31" s="2" t="s">
        <v>12</v>
      </c>
      <c r="G31">
        <v>0.66666666666666663</v>
      </c>
      <c r="H31" s="2" t="s">
        <v>13</v>
      </c>
      <c r="I31" s="2" t="s">
        <v>85</v>
      </c>
      <c r="J31">
        <v>1</v>
      </c>
      <c r="K31">
        <v>0</v>
      </c>
      <c r="L31">
        <f>correct_ratio_df__3[[#This Row],[available]]-correct_ratio_df__3[[#This Row],[stable]]</f>
        <v>1</v>
      </c>
    </row>
    <row r="32" spans="1:12" x14ac:dyDescent="0.2">
      <c r="A32">
        <v>30</v>
      </c>
      <c r="B32" s="2" t="s">
        <v>71</v>
      </c>
      <c r="C32" s="2" t="s">
        <v>9</v>
      </c>
      <c r="D32" s="2" t="s">
        <v>17</v>
      </c>
      <c r="E32" s="2" t="s">
        <v>21</v>
      </c>
      <c r="F32" s="2" t="s">
        <v>12</v>
      </c>
      <c r="G32">
        <v>0.66666666666666663</v>
      </c>
      <c r="H32" s="2" t="s">
        <v>13</v>
      </c>
      <c r="I32" s="2" t="s">
        <v>85</v>
      </c>
      <c r="J32">
        <v>1</v>
      </c>
      <c r="K32">
        <v>0</v>
      </c>
      <c r="L32">
        <f>correct_ratio_df__3[[#This Row],[available]]-correct_ratio_df__3[[#This Row],[stable]]</f>
        <v>1</v>
      </c>
    </row>
    <row r="33" spans="1:12" x14ac:dyDescent="0.2">
      <c r="A33">
        <v>31</v>
      </c>
      <c r="B33" s="2" t="s">
        <v>72</v>
      </c>
      <c r="C33" s="2" t="s">
        <v>19</v>
      </c>
      <c r="D33" s="2" t="s">
        <v>17</v>
      </c>
      <c r="E33" s="2" t="s">
        <v>11</v>
      </c>
      <c r="F33" s="2" t="s">
        <v>12</v>
      </c>
      <c r="G33">
        <v>1</v>
      </c>
      <c r="H33" s="2" t="s">
        <v>13</v>
      </c>
      <c r="I33" s="2" t="s">
        <v>85</v>
      </c>
      <c r="J33">
        <v>1</v>
      </c>
      <c r="K33">
        <v>1</v>
      </c>
      <c r="L33">
        <f>correct_ratio_df__3[[#This Row],[available]]-correct_ratio_df__3[[#This Row],[stable]]</f>
        <v>0</v>
      </c>
    </row>
    <row r="34" spans="1:12" x14ac:dyDescent="0.2">
      <c r="A34">
        <v>32</v>
      </c>
      <c r="B34" s="2" t="s">
        <v>73</v>
      </c>
      <c r="C34" s="2" t="s">
        <v>16</v>
      </c>
      <c r="D34" s="2" t="s">
        <v>17</v>
      </c>
      <c r="E34" s="2" t="s">
        <v>11</v>
      </c>
      <c r="F34" s="2" t="s">
        <v>12</v>
      </c>
      <c r="G34">
        <v>0.66666666666666663</v>
      </c>
      <c r="H34" s="2" t="s">
        <v>13</v>
      </c>
      <c r="I34" s="2" t="s">
        <v>85</v>
      </c>
      <c r="J34">
        <v>1</v>
      </c>
      <c r="K34">
        <v>0</v>
      </c>
      <c r="L34">
        <f>correct_ratio_df__3[[#This Row],[available]]-correct_ratio_df__3[[#This Row],[stable]]</f>
        <v>1</v>
      </c>
    </row>
    <row r="35" spans="1:12" x14ac:dyDescent="0.2">
      <c r="A35">
        <v>33</v>
      </c>
      <c r="B35" s="2" t="s">
        <v>74</v>
      </c>
      <c r="C35" s="2" t="s">
        <v>22</v>
      </c>
      <c r="D35" s="2" t="s">
        <v>17</v>
      </c>
      <c r="E35" s="2" t="s">
        <v>21</v>
      </c>
      <c r="F35" s="2" t="s">
        <v>12</v>
      </c>
      <c r="G35">
        <v>0.66666666666666663</v>
      </c>
      <c r="H35" s="2" t="s">
        <v>13</v>
      </c>
      <c r="I35" s="2" t="s">
        <v>85</v>
      </c>
      <c r="J35">
        <v>1</v>
      </c>
      <c r="K35">
        <v>0</v>
      </c>
      <c r="L35">
        <f>correct_ratio_df__3[[#This Row],[available]]-correct_ratio_df__3[[#This Row],[stable]]</f>
        <v>1</v>
      </c>
    </row>
    <row r="36" spans="1:12" x14ac:dyDescent="0.2">
      <c r="A36">
        <v>34</v>
      </c>
      <c r="B36" s="2" t="s">
        <v>75</v>
      </c>
      <c r="C36" s="2" t="s">
        <v>14</v>
      </c>
      <c r="D36" s="2" t="s">
        <v>17</v>
      </c>
      <c r="E36" s="2" t="s">
        <v>21</v>
      </c>
      <c r="F36" s="2" t="s">
        <v>12</v>
      </c>
      <c r="G36">
        <v>1</v>
      </c>
      <c r="H36" s="2" t="s">
        <v>13</v>
      </c>
      <c r="I36" s="2" t="s">
        <v>85</v>
      </c>
      <c r="J36">
        <v>1</v>
      </c>
      <c r="K36">
        <v>1</v>
      </c>
      <c r="L36">
        <f>correct_ratio_df__3[[#This Row],[available]]-correct_ratio_df__3[[#This Row],[stable]]</f>
        <v>0</v>
      </c>
    </row>
    <row r="37" spans="1:12" x14ac:dyDescent="0.2">
      <c r="A37">
        <v>35</v>
      </c>
      <c r="B37" s="2" t="s">
        <v>76</v>
      </c>
      <c r="C37" s="2" t="s">
        <v>14</v>
      </c>
      <c r="D37" s="2" t="s">
        <v>10</v>
      </c>
      <c r="E37" s="2" t="s">
        <v>21</v>
      </c>
      <c r="F37" s="2" t="s">
        <v>12</v>
      </c>
      <c r="G37">
        <v>1</v>
      </c>
      <c r="H37" s="2" t="s">
        <v>13</v>
      </c>
      <c r="I37" s="2" t="s">
        <v>85</v>
      </c>
      <c r="J37">
        <v>1</v>
      </c>
      <c r="K37">
        <v>1</v>
      </c>
      <c r="L37">
        <f>correct_ratio_df__3[[#This Row],[available]]-correct_ratio_df__3[[#This Row],[stable]]</f>
        <v>0</v>
      </c>
    </row>
    <row r="38" spans="1:12" x14ac:dyDescent="0.2">
      <c r="A38">
        <v>36</v>
      </c>
      <c r="B38" s="2" t="s">
        <v>77</v>
      </c>
      <c r="C38" s="2" t="s">
        <v>9</v>
      </c>
      <c r="D38" s="2" t="s">
        <v>17</v>
      </c>
      <c r="E38" s="2" t="s">
        <v>15</v>
      </c>
      <c r="F38" s="2" t="s">
        <v>12</v>
      </c>
      <c r="G38">
        <v>1</v>
      </c>
      <c r="H38" s="2" t="s">
        <v>13</v>
      </c>
      <c r="I38" s="2" t="s">
        <v>85</v>
      </c>
      <c r="J38">
        <v>1</v>
      </c>
      <c r="K38">
        <v>1</v>
      </c>
      <c r="L38">
        <f>correct_ratio_df__3[[#This Row],[available]]-correct_ratio_df__3[[#This Row],[stable]]</f>
        <v>0</v>
      </c>
    </row>
    <row r="39" spans="1:12" x14ac:dyDescent="0.2">
      <c r="A39">
        <v>37</v>
      </c>
      <c r="B39" s="2" t="s">
        <v>78</v>
      </c>
      <c r="C39" s="2" t="s">
        <v>9</v>
      </c>
      <c r="D39" s="2" t="s">
        <v>17</v>
      </c>
      <c r="E39" s="2" t="s">
        <v>21</v>
      </c>
      <c r="F39" s="2" t="s">
        <v>12</v>
      </c>
      <c r="G39">
        <v>1</v>
      </c>
      <c r="H39" s="2" t="s">
        <v>13</v>
      </c>
      <c r="I39" s="2" t="s">
        <v>85</v>
      </c>
      <c r="J39">
        <v>1</v>
      </c>
      <c r="K39">
        <v>1</v>
      </c>
      <c r="L39">
        <f>correct_ratio_df__3[[#This Row],[available]]-correct_ratio_df__3[[#This Row],[stable]]</f>
        <v>0</v>
      </c>
    </row>
    <row r="40" spans="1:12" x14ac:dyDescent="0.2">
      <c r="A40">
        <v>38</v>
      </c>
      <c r="B40" s="2" t="s">
        <v>79</v>
      </c>
      <c r="C40" s="2" t="s">
        <v>14</v>
      </c>
      <c r="D40" s="2" t="s">
        <v>17</v>
      </c>
      <c r="E40" s="2" t="s">
        <v>11</v>
      </c>
      <c r="F40" s="2" t="s">
        <v>12</v>
      </c>
      <c r="G40">
        <v>0.33333333333333331</v>
      </c>
      <c r="H40" s="2" t="s">
        <v>13</v>
      </c>
      <c r="I40" s="2" t="s">
        <v>85</v>
      </c>
      <c r="J40">
        <v>1</v>
      </c>
      <c r="K40">
        <v>0</v>
      </c>
      <c r="L40">
        <f>correct_ratio_df__3[[#This Row],[available]]-correct_ratio_df__3[[#This Row],[stable]]</f>
        <v>1</v>
      </c>
    </row>
    <row r="41" spans="1:12" x14ac:dyDescent="0.2">
      <c r="A41">
        <v>39</v>
      </c>
      <c r="B41" s="2" t="s">
        <v>80</v>
      </c>
      <c r="C41" s="2" t="s">
        <v>22</v>
      </c>
      <c r="D41" s="2" t="s">
        <v>20</v>
      </c>
      <c r="E41" s="2" t="s">
        <v>11</v>
      </c>
      <c r="F41" s="2" t="s">
        <v>12</v>
      </c>
      <c r="G41">
        <v>1</v>
      </c>
      <c r="H41" s="2" t="s">
        <v>13</v>
      </c>
      <c r="I41" s="2" t="s">
        <v>85</v>
      </c>
      <c r="J41">
        <v>1</v>
      </c>
      <c r="K41">
        <v>1</v>
      </c>
      <c r="L41">
        <f>correct_ratio_df__3[[#This Row],[available]]-correct_ratio_df__3[[#This Row],[stable]]</f>
        <v>0</v>
      </c>
    </row>
    <row r="42" spans="1:12" x14ac:dyDescent="0.2">
      <c r="A42">
        <v>40</v>
      </c>
      <c r="B42" s="2" t="s">
        <v>41</v>
      </c>
      <c r="C42" s="2" t="s">
        <v>9</v>
      </c>
      <c r="D42" s="2" t="s">
        <v>10</v>
      </c>
      <c r="E42" s="2" t="s">
        <v>11</v>
      </c>
      <c r="F42" s="2" t="s">
        <v>23</v>
      </c>
      <c r="G42">
        <v>1</v>
      </c>
      <c r="H42" s="2" t="s">
        <v>24</v>
      </c>
      <c r="I42" s="2" t="s">
        <v>86</v>
      </c>
      <c r="J42">
        <v>1</v>
      </c>
      <c r="K42">
        <v>1</v>
      </c>
      <c r="L42">
        <f>correct_ratio_df__3[[#This Row],[available]]-correct_ratio_df__3[[#This Row],[stable]]</f>
        <v>0</v>
      </c>
    </row>
    <row r="43" spans="1:12" x14ac:dyDescent="0.2">
      <c r="A43">
        <v>41</v>
      </c>
      <c r="B43" s="2" t="s">
        <v>42</v>
      </c>
      <c r="C43" s="2" t="s">
        <v>14</v>
      </c>
      <c r="D43" s="2" t="s">
        <v>10</v>
      </c>
      <c r="E43" s="2" t="s">
        <v>15</v>
      </c>
      <c r="F43" s="2" t="s">
        <v>23</v>
      </c>
      <c r="G43">
        <v>1</v>
      </c>
      <c r="H43" s="2" t="s">
        <v>24</v>
      </c>
      <c r="I43" s="2" t="s">
        <v>86</v>
      </c>
      <c r="J43">
        <v>1</v>
      </c>
      <c r="K43">
        <v>1</v>
      </c>
      <c r="L43">
        <f>correct_ratio_df__3[[#This Row],[available]]-correct_ratio_df__3[[#This Row],[stable]]</f>
        <v>0</v>
      </c>
    </row>
    <row r="44" spans="1:12" x14ac:dyDescent="0.2">
      <c r="A44">
        <v>42</v>
      </c>
      <c r="B44" s="2" t="s">
        <v>43</v>
      </c>
      <c r="C44" s="2" t="s">
        <v>16</v>
      </c>
      <c r="D44" s="2" t="s">
        <v>17</v>
      </c>
      <c r="E44" s="2" t="s">
        <v>11</v>
      </c>
      <c r="F44" s="2" t="s">
        <v>23</v>
      </c>
      <c r="G44">
        <v>1</v>
      </c>
      <c r="H44" s="2" t="s">
        <v>24</v>
      </c>
      <c r="I44" s="2" t="s">
        <v>86</v>
      </c>
      <c r="J44">
        <v>1</v>
      </c>
      <c r="K44">
        <v>1</v>
      </c>
      <c r="L44">
        <f>correct_ratio_df__3[[#This Row],[available]]-correct_ratio_df__3[[#This Row],[stable]]</f>
        <v>0</v>
      </c>
    </row>
    <row r="45" spans="1:12" x14ac:dyDescent="0.2">
      <c r="A45">
        <v>43</v>
      </c>
      <c r="B45" s="2" t="s">
        <v>44</v>
      </c>
      <c r="C45" s="2" t="s">
        <v>16</v>
      </c>
      <c r="D45" s="2" t="s">
        <v>10</v>
      </c>
      <c r="E45" s="2" t="s">
        <v>15</v>
      </c>
      <c r="F45" s="2" t="s">
        <v>23</v>
      </c>
      <c r="G45">
        <v>1</v>
      </c>
      <c r="H45" s="2" t="s">
        <v>24</v>
      </c>
      <c r="I45" s="2" t="s">
        <v>86</v>
      </c>
      <c r="J45">
        <v>1</v>
      </c>
      <c r="K45">
        <v>1</v>
      </c>
      <c r="L45">
        <f>correct_ratio_df__3[[#This Row],[available]]-correct_ratio_df__3[[#This Row],[stable]]</f>
        <v>0</v>
      </c>
    </row>
    <row r="46" spans="1:12" x14ac:dyDescent="0.2">
      <c r="A46">
        <v>44</v>
      </c>
      <c r="B46" s="2" t="s">
        <v>45</v>
      </c>
      <c r="C46" s="2" t="s">
        <v>14</v>
      </c>
      <c r="D46" s="2" t="s">
        <v>18</v>
      </c>
      <c r="E46" s="2" t="s">
        <v>15</v>
      </c>
      <c r="F46" s="2" t="s">
        <v>23</v>
      </c>
      <c r="G46">
        <v>1</v>
      </c>
      <c r="H46" s="2" t="s">
        <v>24</v>
      </c>
      <c r="I46" s="2" t="s">
        <v>86</v>
      </c>
      <c r="J46">
        <v>1</v>
      </c>
      <c r="K46">
        <v>1</v>
      </c>
      <c r="L46">
        <f>correct_ratio_df__3[[#This Row],[available]]-correct_ratio_df__3[[#This Row],[stable]]</f>
        <v>0</v>
      </c>
    </row>
    <row r="47" spans="1:12" x14ac:dyDescent="0.2">
      <c r="A47">
        <v>45</v>
      </c>
      <c r="B47" s="2" t="s">
        <v>46</v>
      </c>
      <c r="C47" s="2" t="s">
        <v>14</v>
      </c>
      <c r="D47" s="2" t="s">
        <v>10</v>
      </c>
      <c r="E47" s="2" t="s">
        <v>15</v>
      </c>
      <c r="F47" s="2" t="s">
        <v>23</v>
      </c>
      <c r="G47">
        <v>1</v>
      </c>
      <c r="H47" s="2" t="s">
        <v>24</v>
      </c>
      <c r="I47" s="2" t="s">
        <v>86</v>
      </c>
      <c r="J47">
        <v>1</v>
      </c>
      <c r="K47">
        <v>1</v>
      </c>
      <c r="L47">
        <f>correct_ratio_df__3[[#This Row],[available]]-correct_ratio_df__3[[#This Row],[stable]]</f>
        <v>0</v>
      </c>
    </row>
    <row r="48" spans="1:12" x14ac:dyDescent="0.2">
      <c r="A48">
        <v>46</v>
      </c>
      <c r="B48" s="2" t="s">
        <v>47</v>
      </c>
      <c r="C48" s="2" t="s">
        <v>19</v>
      </c>
      <c r="D48" s="2" t="s">
        <v>10</v>
      </c>
      <c r="E48" s="2" t="s">
        <v>15</v>
      </c>
      <c r="F48" s="2" t="s">
        <v>23</v>
      </c>
      <c r="G48">
        <v>1</v>
      </c>
      <c r="H48" s="2" t="s">
        <v>24</v>
      </c>
      <c r="I48" s="2" t="s">
        <v>86</v>
      </c>
      <c r="J48">
        <v>1</v>
      </c>
      <c r="K48">
        <v>1</v>
      </c>
      <c r="L48">
        <f>correct_ratio_df__3[[#This Row],[available]]-correct_ratio_df__3[[#This Row],[stable]]</f>
        <v>0</v>
      </c>
    </row>
    <row r="49" spans="1:12" x14ac:dyDescent="0.2">
      <c r="A49">
        <v>47</v>
      </c>
      <c r="B49" s="2" t="s">
        <v>48</v>
      </c>
      <c r="C49" s="2" t="s">
        <v>16</v>
      </c>
      <c r="D49" s="2" t="s">
        <v>20</v>
      </c>
      <c r="E49" s="2" t="s">
        <v>21</v>
      </c>
      <c r="F49" s="2" t="s">
        <v>23</v>
      </c>
      <c r="G49">
        <v>1</v>
      </c>
      <c r="H49" s="2" t="s">
        <v>24</v>
      </c>
      <c r="I49" s="2" t="s">
        <v>86</v>
      </c>
      <c r="J49">
        <v>1</v>
      </c>
      <c r="K49">
        <v>1</v>
      </c>
      <c r="L49">
        <f>correct_ratio_df__3[[#This Row],[available]]-correct_ratio_df__3[[#This Row],[stable]]</f>
        <v>0</v>
      </c>
    </row>
    <row r="50" spans="1:12" x14ac:dyDescent="0.2">
      <c r="A50">
        <v>48</v>
      </c>
      <c r="B50" s="2" t="s">
        <v>49</v>
      </c>
      <c r="C50" s="2" t="s">
        <v>16</v>
      </c>
      <c r="D50" s="2" t="s">
        <v>10</v>
      </c>
      <c r="E50" s="2" t="s">
        <v>21</v>
      </c>
      <c r="F50" s="2" t="s">
        <v>23</v>
      </c>
      <c r="G50">
        <v>1</v>
      </c>
      <c r="H50" s="2" t="s">
        <v>24</v>
      </c>
      <c r="I50" s="2" t="s">
        <v>86</v>
      </c>
      <c r="J50">
        <v>1</v>
      </c>
      <c r="K50">
        <v>1</v>
      </c>
      <c r="L50">
        <f>correct_ratio_df__3[[#This Row],[available]]-correct_ratio_df__3[[#This Row],[stable]]</f>
        <v>0</v>
      </c>
    </row>
    <row r="51" spans="1:12" x14ac:dyDescent="0.2">
      <c r="A51">
        <v>49</v>
      </c>
      <c r="B51" s="2" t="s">
        <v>50</v>
      </c>
      <c r="C51" s="2" t="s">
        <v>9</v>
      </c>
      <c r="D51" s="2" t="s">
        <v>17</v>
      </c>
      <c r="E51" s="2" t="s">
        <v>21</v>
      </c>
      <c r="F51" s="2" t="s">
        <v>23</v>
      </c>
      <c r="G51">
        <v>0.66666666666666663</v>
      </c>
      <c r="H51" s="2" t="s">
        <v>24</v>
      </c>
      <c r="I51" s="2" t="s">
        <v>86</v>
      </c>
      <c r="J51">
        <v>1</v>
      </c>
      <c r="K51">
        <v>0</v>
      </c>
      <c r="L51">
        <f>correct_ratio_df__3[[#This Row],[available]]-correct_ratio_df__3[[#This Row],[stable]]</f>
        <v>1</v>
      </c>
    </row>
    <row r="52" spans="1:12" x14ac:dyDescent="0.2">
      <c r="A52">
        <v>50</v>
      </c>
      <c r="B52" s="2" t="s">
        <v>51</v>
      </c>
      <c r="C52" s="2" t="s">
        <v>16</v>
      </c>
      <c r="D52" s="2" t="s">
        <v>17</v>
      </c>
      <c r="E52" s="2" t="s">
        <v>11</v>
      </c>
      <c r="F52" s="2" t="s">
        <v>23</v>
      </c>
      <c r="G52">
        <v>1</v>
      </c>
      <c r="H52" s="2" t="s">
        <v>24</v>
      </c>
      <c r="I52" s="2" t="s">
        <v>86</v>
      </c>
      <c r="J52">
        <v>1</v>
      </c>
      <c r="K52">
        <v>1</v>
      </c>
      <c r="L52">
        <f>correct_ratio_df__3[[#This Row],[available]]-correct_ratio_df__3[[#This Row],[stable]]</f>
        <v>0</v>
      </c>
    </row>
    <row r="53" spans="1:12" x14ac:dyDescent="0.2">
      <c r="A53">
        <v>51</v>
      </c>
      <c r="B53" s="2" t="s">
        <v>52</v>
      </c>
      <c r="C53" s="2" t="s">
        <v>9</v>
      </c>
      <c r="D53" s="2" t="s">
        <v>17</v>
      </c>
      <c r="E53" s="2" t="s">
        <v>15</v>
      </c>
      <c r="F53" s="2" t="s">
        <v>23</v>
      </c>
      <c r="G53">
        <v>1</v>
      </c>
      <c r="H53" s="2" t="s">
        <v>24</v>
      </c>
      <c r="I53" s="2" t="s">
        <v>86</v>
      </c>
      <c r="J53">
        <v>1</v>
      </c>
      <c r="K53">
        <v>1</v>
      </c>
      <c r="L53">
        <f>correct_ratio_df__3[[#This Row],[available]]-correct_ratio_df__3[[#This Row],[stable]]</f>
        <v>0</v>
      </c>
    </row>
    <row r="54" spans="1:12" x14ac:dyDescent="0.2">
      <c r="A54">
        <v>52</v>
      </c>
      <c r="B54" s="2" t="s">
        <v>53</v>
      </c>
      <c r="C54" s="2" t="s">
        <v>19</v>
      </c>
      <c r="D54" s="2" t="s">
        <v>17</v>
      </c>
      <c r="E54" s="2" t="s">
        <v>21</v>
      </c>
      <c r="F54" s="2" t="s">
        <v>23</v>
      </c>
      <c r="G54">
        <v>1</v>
      </c>
      <c r="H54" s="2" t="s">
        <v>24</v>
      </c>
      <c r="I54" s="2" t="s">
        <v>86</v>
      </c>
      <c r="J54">
        <v>1</v>
      </c>
      <c r="K54">
        <v>1</v>
      </c>
      <c r="L54">
        <f>correct_ratio_df__3[[#This Row],[available]]-correct_ratio_df__3[[#This Row],[stable]]</f>
        <v>0</v>
      </c>
    </row>
    <row r="55" spans="1:12" x14ac:dyDescent="0.2">
      <c r="A55">
        <v>53</v>
      </c>
      <c r="B55" s="2" t="s">
        <v>54</v>
      </c>
      <c r="C55" s="2" t="s">
        <v>14</v>
      </c>
      <c r="D55" s="2" t="s">
        <v>17</v>
      </c>
      <c r="E55" s="2" t="s">
        <v>15</v>
      </c>
      <c r="F55" s="2" t="s">
        <v>23</v>
      </c>
      <c r="G55">
        <v>1</v>
      </c>
      <c r="H55" s="2" t="s">
        <v>24</v>
      </c>
      <c r="I55" s="2" t="s">
        <v>86</v>
      </c>
      <c r="J55">
        <v>1</v>
      </c>
      <c r="K55">
        <v>1</v>
      </c>
      <c r="L55">
        <f>correct_ratio_df__3[[#This Row],[available]]-correct_ratio_df__3[[#This Row],[stable]]</f>
        <v>0</v>
      </c>
    </row>
    <row r="56" spans="1:12" x14ac:dyDescent="0.2">
      <c r="A56">
        <v>54</v>
      </c>
      <c r="B56" s="2" t="s">
        <v>55</v>
      </c>
      <c r="C56" s="2" t="s">
        <v>9</v>
      </c>
      <c r="D56" s="2" t="s">
        <v>18</v>
      </c>
      <c r="E56" s="2" t="s">
        <v>21</v>
      </c>
      <c r="F56" s="2" t="s">
        <v>23</v>
      </c>
      <c r="G56">
        <v>1</v>
      </c>
      <c r="H56" s="2" t="s">
        <v>24</v>
      </c>
      <c r="I56" s="2" t="s">
        <v>86</v>
      </c>
      <c r="J56">
        <v>1</v>
      </c>
      <c r="K56">
        <v>1</v>
      </c>
      <c r="L56">
        <f>correct_ratio_df__3[[#This Row],[available]]-correct_ratio_df__3[[#This Row],[stable]]</f>
        <v>0</v>
      </c>
    </row>
    <row r="57" spans="1:12" x14ac:dyDescent="0.2">
      <c r="A57">
        <v>55</v>
      </c>
      <c r="B57" s="2" t="s">
        <v>56</v>
      </c>
      <c r="C57" s="2" t="s">
        <v>19</v>
      </c>
      <c r="D57" s="2" t="s">
        <v>17</v>
      </c>
      <c r="E57" s="2" t="s">
        <v>21</v>
      </c>
      <c r="F57" s="2" t="s">
        <v>23</v>
      </c>
      <c r="G57">
        <v>1</v>
      </c>
      <c r="H57" s="2" t="s">
        <v>24</v>
      </c>
      <c r="I57" s="2" t="s">
        <v>86</v>
      </c>
      <c r="J57">
        <v>1</v>
      </c>
      <c r="K57">
        <v>1</v>
      </c>
      <c r="L57">
        <f>correct_ratio_df__3[[#This Row],[available]]-correct_ratio_df__3[[#This Row],[stable]]</f>
        <v>0</v>
      </c>
    </row>
    <row r="58" spans="1:12" x14ac:dyDescent="0.2">
      <c r="A58">
        <v>56</v>
      </c>
      <c r="B58" s="2" t="s">
        <v>57</v>
      </c>
      <c r="C58" s="2" t="s">
        <v>9</v>
      </c>
      <c r="D58" s="2" t="s">
        <v>17</v>
      </c>
      <c r="E58" s="2" t="s">
        <v>21</v>
      </c>
      <c r="F58" s="2" t="s">
        <v>23</v>
      </c>
      <c r="G58">
        <v>0.66666666666666663</v>
      </c>
      <c r="H58" s="2" t="s">
        <v>24</v>
      </c>
      <c r="I58" s="2" t="s">
        <v>86</v>
      </c>
      <c r="J58">
        <v>1</v>
      </c>
      <c r="K58">
        <v>0</v>
      </c>
      <c r="L58">
        <f>correct_ratio_df__3[[#This Row],[available]]-correct_ratio_df__3[[#This Row],[stable]]</f>
        <v>1</v>
      </c>
    </row>
    <row r="59" spans="1:12" x14ac:dyDescent="0.2">
      <c r="A59">
        <v>57</v>
      </c>
      <c r="B59" s="2" t="s">
        <v>58</v>
      </c>
      <c r="C59" s="2" t="s">
        <v>9</v>
      </c>
      <c r="D59" s="2" t="s">
        <v>17</v>
      </c>
      <c r="E59" s="2" t="s">
        <v>21</v>
      </c>
      <c r="F59" s="2" t="s">
        <v>23</v>
      </c>
      <c r="G59">
        <v>0</v>
      </c>
      <c r="H59" s="2" t="s">
        <v>24</v>
      </c>
      <c r="I59" s="2" t="s">
        <v>86</v>
      </c>
      <c r="J59">
        <v>0</v>
      </c>
      <c r="K59">
        <v>0</v>
      </c>
      <c r="L59">
        <f>correct_ratio_df__3[[#This Row],[available]]-correct_ratio_df__3[[#This Row],[stable]]</f>
        <v>0</v>
      </c>
    </row>
    <row r="60" spans="1:12" x14ac:dyDescent="0.2">
      <c r="A60">
        <v>58</v>
      </c>
      <c r="B60" s="2" t="s">
        <v>59</v>
      </c>
      <c r="C60" s="2" t="s">
        <v>19</v>
      </c>
      <c r="D60" s="2" t="s">
        <v>17</v>
      </c>
      <c r="E60" s="2" t="s">
        <v>15</v>
      </c>
      <c r="F60" s="2" t="s">
        <v>23</v>
      </c>
      <c r="G60">
        <v>1</v>
      </c>
      <c r="H60" s="2" t="s">
        <v>24</v>
      </c>
      <c r="I60" s="2" t="s">
        <v>86</v>
      </c>
      <c r="J60">
        <v>1</v>
      </c>
      <c r="K60">
        <v>1</v>
      </c>
      <c r="L60">
        <f>correct_ratio_df__3[[#This Row],[available]]-correct_ratio_df__3[[#This Row],[stable]]</f>
        <v>0</v>
      </c>
    </row>
    <row r="61" spans="1:12" x14ac:dyDescent="0.2">
      <c r="A61">
        <v>59</v>
      </c>
      <c r="B61" s="2" t="s">
        <v>60</v>
      </c>
      <c r="C61" s="2" t="s">
        <v>9</v>
      </c>
      <c r="D61" s="2" t="s">
        <v>17</v>
      </c>
      <c r="E61" s="2" t="s">
        <v>21</v>
      </c>
      <c r="F61" s="2" t="s">
        <v>23</v>
      </c>
      <c r="G61">
        <v>1</v>
      </c>
      <c r="H61" s="2" t="s">
        <v>24</v>
      </c>
      <c r="I61" s="2" t="s">
        <v>86</v>
      </c>
      <c r="J61">
        <v>1</v>
      </c>
      <c r="K61">
        <v>1</v>
      </c>
      <c r="L61">
        <f>correct_ratio_df__3[[#This Row],[available]]-correct_ratio_df__3[[#This Row],[stable]]</f>
        <v>0</v>
      </c>
    </row>
    <row r="62" spans="1:12" x14ac:dyDescent="0.2">
      <c r="A62">
        <v>60</v>
      </c>
      <c r="B62" s="2" t="s">
        <v>61</v>
      </c>
      <c r="C62" s="2" t="s">
        <v>14</v>
      </c>
      <c r="D62" s="2" t="s">
        <v>10</v>
      </c>
      <c r="E62" s="2" t="s">
        <v>11</v>
      </c>
      <c r="F62" s="2" t="s">
        <v>23</v>
      </c>
      <c r="G62">
        <v>1</v>
      </c>
      <c r="H62" s="2" t="s">
        <v>24</v>
      </c>
      <c r="I62" s="2" t="s">
        <v>86</v>
      </c>
      <c r="J62">
        <v>1</v>
      </c>
      <c r="K62">
        <v>1</v>
      </c>
      <c r="L62">
        <f>correct_ratio_df__3[[#This Row],[available]]-correct_ratio_df__3[[#This Row],[stable]]</f>
        <v>0</v>
      </c>
    </row>
    <row r="63" spans="1:12" x14ac:dyDescent="0.2">
      <c r="A63">
        <v>61</v>
      </c>
      <c r="B63" s="2" t="s">
        <v>62</v>
      </c>
      <c r="C63" s="2" t="s">
        <v>16</v>
      </c>
      <c r="D63" s="2" t="s">
        <v>18</v>
      </c>
      <c r="E63" s="2" t="s">
        <v>11</v>
      </c>
      <c r="F63" s="2" t="s">
        <v>23</v>
      </c>
      <c r="G63">
        <v>1</v>
      </c>
      <c r="H63" s="2" t="s">
        <v>24</v>
      </c>
      <c r="I63" s="2" t="s">
        <v>86</v>
      </c>
      <c r="J63">
        <v>1</v>
      </c>
      <c r="K63">
        <v>1</v>
      </c>
      <c r="L63">
        <f>correct_ratio_df__3[[#This Row],[available]]-correct_ratio_df__3[[#This Row],[stable]]</f>
        <v>0</v>
      </c>
    </row>
    <row r="64" spans="1:12" x14ac:dyDescent="0.2">
      <c r="A64">
        <v>62</v>
      </c>
      <c r="B64" s="2" t="s">
        <v>63</v>
      </c>
      <c r="C64" s="2" t="s">
        <v>9</v>
      </c>
      <c r="D64" s="2" t="s">
        <v>20</v>
      </c>
      <c r="E64" s="2" t="s">
        <v>15</v>
      </c>
      <c r="F64" s="2" t="s">
        <v>23</v>
      </c>
      <c r="G64">
        <v>1</v>
      </c>
      <c r="H64" s="2" t="s">
        <v>24</v>
      </c>
      <c r="I64" s="2" t="s">
        <v>86</v>
      </c>
      <c r="J64">
        <v>1</v>
      </c>
      <c r="K64">
        <v>1</v>
      </c>
      <c r="L64">
        <f>correct_ratio_df__3[[#This Row],[available]]-correct_ratio_df__3[[#This Row],[stable]]</f>
        <v>0</v>
      </c>
    </row>
    <row r="65" spans="1:12" x14ac:dyDescent="0.2">
      <c r="A65">
        <v>63</v>
      </c>
      <c r="B65" s="2" t="s">
        <v>64</v>
      </c>
      <c r="C65" s="2" t="s">
        <v>14</v>
      </c>
      <c r="D65" s="2" t="s">
        <v>17</v>
      </c>
      <c r="E65" s="2" t="s">
        <v>11</v>
      </c>
      <c r="F65" s="2" t="s">
        <v>23</v>
      </c>
      <c r="G65">
        <v>1</v>
      </c>
      <c r="H65" s="2" t="s">
        <v>24</v>
      </c>
      <c r="I65" s="2" t="s">
        <v>86</v>
      </c>
      <c r="J65">
        <v>1</v>
      </c>
      <c r="K65">
        <v>1</v>
      </c>
      <c r="L65">
        <f>correct_ratio_df__3[[#This Row],[available]]-correct_ratio_df__3[[#This Row],[stable]]</f>
        <v>0</v>
      </c>
    </row>
    <row r="66" spans="1:12" x14ac:dyDescent="0.2">
      <c r="A66">
        <v>64</v>
      </c>
      <c r="B66" s="2" t="s">
        <v>65</v>
      </c>
      <c r="C66" s="2" t="s">
        <v>19</v>
      </c>
      <c r="D66" s="2" t="s">
        <v>18</v>
      </c>
      <c r="E66" s="2" t="s">
        <v>21</v>
      </c>
      <c r="F66" s="2" t="s">
        <v>23</v>
      </c>
      <c r="G66">
        <v>1</v>
      </c>
      <c r="H66" s="2" t="s">
        <v>24</v>
      </c>
      <c r="I66" s="2" t="s">
        <v>86</v>
      </c>
      <c r="J66">
        <v>1</v>
      </c>
      <c r="K66">
        <v>1</v>
      </c>
      <c r="L66">
        <f>correct_ratio_df__3[[#This Row],[available]]-correct_ratio_df__3[[#This Row],[stable]]</f>
        <v>0</v>
      </c>
    </row>
    <row r="67" spans="1:12" x14ac:dyDescent="0.2">
      <c r="A67">
        <v>65</v>
      </c>
      <c r="B67" s="2" t="s">
        <v>66</v>
      </c>
      <c r="C67" s="2" t="s">
        <v>14</v>
      </c>
      <c r="D67" s="2" t="s">
        <v>18</v>
      </c>
      <c r="E67" s="2" t="s">
        <v>15</v>
      </c>
      <c r="F67" s="2" t="s">
        <v>23</v>
      </c>
      <c r="G67">
        <v>1</v>
      </c>
      <c r="H67" s="2" t="s">
        <v>24</v>
      </c>
      <c r="I67" s="2" t="s">
        <v>86</v>
      </c>
      <c r="J67">
        <v>1</v>
      </c>
      <c r="K67">
        <v>1</v>
      </c>
      <c r="L67">
        <f>correct_ratio_df__3[[#This Row],[available]]-correct_ratio_df__3[[#This Row],[stable]]</f>
        <v>0</v>
      </c>
    </row>
    <row r="68" spans="1:12" x14ac:dyDescent="0.2">
      <c r="A68">
        <v>66</v>
      </c>
      <c r="B68" s="2" t="s">
        <v>67</v>
      </c>
      <c r="C68" s="2" t="s">
        <v>9</v>
      </c>
      <c r="D68" s="2" t="s">
        <v>17</v>
      </c>
      <c r="E68" s="2" t="s">
        <v>21</v>
      </c>
      <c r="F68" s="2" t="s">
        <v>23</v>
      </c>
      <c r="G68">
        <v>1</v>
      </c>
      <c r="H68" s="2" t="s">
        <v>24</v>
      </c>
      <c r="I68" s="2" t="s">
        <v>86</v>
      </c>
      <c r="J68">
        <v>1</v>
      </c>
      <c r="K68">
        <v>1</v>
      </c>
      <c r="L68">
        <f>correct_ratio_df__3[[#This Row],[available]]-correct_ratio_df__3[[#This Row],[stable]]</f>
        <v>0</v>
      </c>
    </row>
    <row r="69" spans="1:12" x14ac:dyDescent="0.2">
      <c r="A69">
        <v>67</v>
      </c>
      <c r="B69" s="2" t="s">
        <v>68</v>
      </c>
      <c r="C69" s="2" t="s">
        <v>14</v>
      </c>
      <c r="D69" s="2" t="s">
        <v>17</v>
      </c>
      <c r="E69" s="2" t="s">
        <v>15</v>
      </c>
      <c r="F69" s="2" t="s">
        <v>23</v>
      </c>
      <c r="G69">
        <v>1</v>
      </c>
      <c r="H69" s="2" t="s">
        <v>24</v>
      </c>
      <c r="I69" s="2" t="s">
        <v>86</v>
      </c>
      <c r="J69">
        <v>1</v>
      </c>
      <c r="K69">
        <v>1</v>
      </c>
      <c r="L69">
        <f>correct_ratio_df__3[[#This Row],[available]]-correct_ratio_df__3[[#This Row],[stable]]</f>
        <v>0</v>
      </c>
    </row>
    <row r="70" spans="1:12" x14ac:dyDescent="0.2">
      <c r="A70">
        <v>68</v>
      </c>
      <c r="B70" s="2" t="s">
        <v>69</v>
      </c>
      <c r="C70" s="2" t="s">
        <v>22</v>
      </c>
      <c r="D70" s="2" t="s">
        <v>17</v>
      </c>
      <c r="E70" s="2" t="s">
        <v>11</v>
      </c>
      <c r="F70" s="2" t="s">
        <v>23</v>
      </c>
      <c r="G70">
        <v>1</v>
      </c>
      <c r="H70" s="2" t="s">
        <v>24</v>
      </c>
      <c r="I70" s="2" t="s">
        <v>86</v>
      </c>
      <c r="J70">
        <v>1</v>
      </c>
      <c r="K70">
        <v>1</v>
      </c>
      <c r="L70">
        <f>correct_ratio_df__3[[#This Row],[available]]-correct_ratio_df__3[[#This Row],[stable]]</f>
        <v>0</v>
      </c>
    </row>
    <row r="71" spans="1:12" x14ac:dyDescent="0.2">
      <c r="A71">
        <v>69</v>
      </c>
      <c r="B71" s="2" t="s">
        <v>70</v>
      </c>
      <c r="C71" s="2" t="s">
        <v>9</v>
      </c>
      <c r="D71" s="2" t="s">
        <v>17</v>
      </c>
      <c r="E71" s="2" t="s">
        <v>15</v>
      </c>
      <c r="F71" s="2" t="s">
        <v>23</v>
      </c>
      <c r="G71">
        <v>1</v>
      </c>
      <c r="H71" s="2" t="s">
        <v>24</v>
      </c>
      <c r="I71" s="2" t="s">
        <v>86</v>
      </c>
      <c r="J71">
        <v>1</v>
      </c>
      <c r="K71">
        <v>1</v>
      </c>
      <c r="L71">
        <f>correct_ratio_df__3[[#This Row],[available]]-correct_ratio_df__3[[#This Row],[stable]]</f>
        <v>0</v>
      </c>
    </row>
    <row r="72" spans="1:12" x14ac:dyDescent="0.2">
      <c r="A72">
        <v>70</v>
      </c>
      <c r="B72" s="2" t="s">
        <v>71</v>
      </c>
      <c r="C72" s="2" t="s">
        <v>9</v>
      </c>
      <c r="D72" s="2" t="s">
        <v>17</v>
      </c>
      <c r="E72" s="2" t="s">
        <v>21</v>
      </c>
      <c r="F72" s="2" t="s">
        <v>23</v>
      </c>
      <c r="G72">
        <v>0.66666666666666663</v>
      </c>
      <c r="H72" s="2" t="s">
        <v>24</v>
      </c>
      <c r="I72" s="2" t="s">
        <v>86</v>
      </c>
      <c r="J72">
        <v>1</v>
      </c>
      <c r="K72">
        <v>0</v>
      </c>
      <c r="L72">
        <f>correct_ratio_df__3[[#This Row],[available]]-correct_ratio_df__3[[#This Row],[stable]]</f>
        <v>1</v>
      </c>
    </row>
    <row r="73" spans="1:12" x14ac:dyDescent="0.2">
      <c r="A73">
        <v>71</v>
      </c>
      <c r="B73" s="2" t="s">
        <v>72</v>
      </c>
      <c r="C73" s="2" t="s">
        <v>19</v>
      </c>
      <c r="D73" s="2" t="s">
        <v>17</v>
      </c>
      <c r="E73" s="2" t="s">
        <v>11</v>
      </c>
      <c r="F73" s="2" t="s">
        <v>23</v>
      </c>
      <c r="G73">
        <v>1</v>
      </c>
      <c r="H73" s="2" t="s">
        <v>24</v>
      </c>
      <c r="I73" s="2" t="s">
        <v>86</v>
      </c>
      <c r="J73">
        <v>1</v>
      </c>
      <c r="K73">
        <v>1</v>
      </c>
      <c r="L73">
        <f>correct_ratio_df__3[[#This Row],[available]]-correct_ratio_df__3[[#This Row],[stable]]</f>
        <v>0</v>
      </c>
    </row>
    <row r="74" spans="1:12" x14ac:dyDescent="0.2">
      <c r="A74">
        <v>72</v>
      </c>
      <c r="B74" s="2" t="s">
        <v>73</v>
      </c>
      <c r="C74" s="2" t="s">
        <v>16</v>
      </c>
      <c r="D74" s="2" t="s">
        <v>17</v>
      </c>
      <c r="E74" s="2" t="s">
        <v>11</v>
      </c>
      <c r="F74" s="2" t="s">
        <v>23</v>
      </c>
      <c r="G74">
        <v>1</v>
      </c>
      <c r="H74" s="2" t="s">
        <v>24</v>
      </c>
      <c r="I74" s="2" t="s">
        <v>86</v>
      </c>
      <c r="J74">
        <v>1</v>
      </c>
      <c r="K74">
        <v>1</v>
      </c>
      <c r="L74">
        <f>correct_ratio_df__3[[#This Row],[available]]-correct_ratio_df__3[[#This Row],[stable]]</f>
        <v>0</v>
      </c>
    </row>
    <row r="75" spans="1:12" x14ac:dyDescent="0.2">
      <c r="A75">
        <v>73</v>
      </c>
      <c r="B75" s="2" t="s">
        <v>74</v>
      </c>
      <c r="C75" s="2" t="s">
        <v>22</v>
      </c>
      <c r="D75" s="2" t="s">
        <v>17</v>
      </c>
      <c r="E75" s="2" t="s">
        <v>21</v>
      </c>
      <c r="F75" s="2" t="s">
        <v>23</v>
      </c>
      <c r="G75">
        <v>1</v>
      </c>
      <c r="H75" s="2" t="s">
        <v>24</v>
      </c>
      <c r="I75" s="2" t="s">
        <v>86</v>
      </c>
      <c r="J75">
        <v>1</v>
      </c>
      <c r="K75">
        <v>1</v>
      </c>
      <c r="L75">
        <f>correct_ratio_df__3[[#This Row],[available]]-correct_ratio_df__3[[#This Row],[stable]]</f>
        <v>0</v>
      </c>
    </row>
    <row r="76" spans="1:12" x14ac:dyDescent="0.2">
      <c r="A76">
        <v>74</v>
      </c>
      <c r="B76" s="2" t="s">
        <v>75</v>
      </c>
      <c r="C76" s="2" t="s">
        <v>14</v>
      </c>
      <c r="D76" s="2" t="s">
        <v>17</v>
      </c>
      <c r="E76" s="2" t="s">
        <v>21</v>
      </c>
      <c r="F76" s="2" t="s">
        <v>23</v>
      </c>
      <c r="G76">
        <v>1</v>
      </c>
      <c r="H76" s="2" t="s">
        <v>24</v>
      </c>
      <c r="I76" s="2" t="s">
        <v>86</v>
      </c>
      <c r="J76">
        <v>1</v>
      </c>
      <c r="K76">
        <v>1</v>
      </c>
      <c r="L76">
        <f>correct_ratio_df__3[[#This Row],[available]]-correct_ratio_df__3[[#This Row],[stable]]</f>
        <v>0</v>
      </c>
    </row>
    <row r="77" spans="1:12" x14ac:dyDescent="0.2">
      <c r="A77">
        <v>75</v>
      </c>
      <c r="B77" s="2" t="s">
        <v>76</v>
      </c>
      <c r="C77" s="2" t="s">
        <v>14</v>
      </c>
      <c r="D77" s="2" t="s">
        <v>10</v>
      </c>
      <c r="E77" s="2" t="s">
        <v>21</v>
      </c>
      <c r="F77" s="2" t="s">
        <v>23</v>
      </c>
      <c r="G77">
        <v>1</v>
      </c>
      <c r="H77" s="2" t="s">
        <v>24</v>
      </c>
      <c r="I77" s="2" t="s">
        <v>86</v>
      </c>
      <c r="J77">
        <v>1</v>
      </c>
      <c r="K77">
        <v>1</v>
      </c>
      <c r="L77">
        <f>correct_ratio_df__3[[#This Row],[available]]-correct_ratio_df__3[[#This Row],[stable]]</f>
        <v>0</v>
      </c>
    </row>
    <row r="78" spans="1:12" x14ac:dyDescent="0.2">
      <c r="A78">
        <v>76</v>
      </c>
      <c r="B78" s="2" t="s">
        <v>77</v>
      </c>
      <c r="C78" s="2" t="s">
        <v>9</v>
      </c>
      <c r="D78" s="2" t="s">
        <v>17</v>
      </c>
      <c r="E78" s="2" t="s">
        <v>15</v>
      </c>
      <c r="F78" s="2" t="s">
        <v>23</v>
      </c>
      <c r="G78">
        <v>0</v>
      </c>
      <c r="H78" s="2" t="s">
        <v>24</v>
      </c>
      <c r="I78" s="2" t="s">
        <v>86</v>
      </c>
      <c r="J78">
        <v>0</v>
      </c>
      <c r="K78">
        <v>0</v>
      </c>
      <c r="L78">
        <f>correct_ratio_df__3[[#This Row],[available]]-correct_ratio_df__3[[#This Row],[stable]]</f>
        <v>0</v>
      </c>
    </row>
    <row r="79" spans="1:12" x14ac:dyDescent="0.2">
      <c r="A79">
        <v>77</v>
      </c>
      <c r="B79" s="2" t="s">
        <v>78</v>
      </c>
      <c r="C79" s="2" t="s">
        <v>9</v>
      </c>
      <c r="D79" s="2" t="s">
        <v>17</v>
      </c>
      <c r="E79" s="2" t="s">
        <v>21</v>
      </c>
      <c r="F79" s="2" t="s">
        <v>23</v>
      </c>
      <c r="G79">
        <v>1</v>
      </c>
      <c r="H79" s="2" t="s">
        <v>24</v>
      </c>
      <c r="I79" s="2" t="s">
        <v>86</v>
      </c>
      <c r="J79">
        <v>1</v>
      </c>
      <c r="K79">
        <v>1</v>
      </c>
      <c r="L79">
        <f>correct_ratio_df__3[[#This Row],[available]]-correct_ratio_df__3[[#This Row],[stable]]</f>
        <v>0</v>
      </c>
    </row>
    <row r="80" spans="1:12" x14ac:dyDescent="0.2">
      <c r="A80">
        <v>78</v>
      </c>
      <c r="B80" s="2" t="s">
        <v>79</v>
      </c>
      <c r="C80" s="2" t="s">
        <v>14</v>
      </c>
      <c r="D80" s="2" t="s">
        <v>17</v>
      </c>
      <c r="E80" s="2" t="s">
        <v>11</v>
      </c>
      <c r="F80" s="2" t="s">
        <v>23</v>
      </c>
      <c r="G80">
        <v>0.33333333333333331</v>
      </c>
      <c r="H80" s="2" t="s">
        <v>24</v>
      </c>
      <c r="I80" s="2" t="s">
        <v>86</v>
      </c>
      <c r="J80">
        <v>1</v>
      </c>
      <c r="K80">
        <v>0</v>
      </c>
      <c r="L80">
        <f>correct_ratio_df__3[[#This Row],[available]]-correct_ratio_df__3[[#This Row],[stable]]</f>
        <v>1</v>
      </c>
    </row>
    <row r="81" spans="1:12" x14ac:dyDescent="0.2">
      <c r="A81">
        <v>79</v>
      </c>
      <c r="B81" s="2" t="s">
        <v>80</v>
      </c>
      <c r="C81" s="2" t="s">
        <v>22</v>
      </c>
      <c r="D81" s="2" t="s">
        <v>20</v>
      </c>
      <c r="E81" s="2" t="s">
        <v>11</v>
      </c>
      <c r="F81" s="2" t="s">
        <v>23</v>
      </c>
      <c r="G81">
        <v>0</v>
      </c>
      <c r="H81" s="2" t="s">
        <v>24</v>
      </c>
      <c r="I81" s="2" t="s">
        <v>86</v>
      </c>
      <c r="J81">
        <v>0</v>
      </c>
      <c r="K81">
        <v>0</v>
      </c>
      <c r="L81">
        <f>correct_ratio_df__3[[#This Row],[available]]-correct_ratio_df__3[[#This Row],[stable]]</f>
        <v>0</v>
      </c>
    </row>
    <row r="82" spans="1:12" x14ac:dyDescent="0.2">
      <c r="A82">
        <v>80</v>
      </c>
      <c r="B82" s="2" t="s">
        <v>41</v>
      </c>
      <c r="C82" s="2" t="s">
        <v>9</v>
      </c>
      <c r="D82" s="2" t="s">
        <v>10</v>
      </c>
      <c r="E82" s="2" t="s">
        <v>11</v>
      </c>
      <c r="F82" s="2" t="s">
        <v>25</v>
      </c>
      <c r="G82">
        <v>1</v>
      </c>
      <c r="H82" s="2" t="s">
        <v>13</v>
      </c>
      <c r="I82" s="2" t="s">
        <v>86</v>
      </c>
      <c r="J82">
        <v>1</v>
      </c>
      <c r="K82">
        <v>1</v>
      </c>
      <c r="L82">
        <f>correct_ratio_df__3[[#This Row],[available]]-correct_ratio_df__3[[#This Row],[stable]]</f>
        <v>0</v>
      </c>
    </row>
    <row r="83" spans="1:12" x14ac:dyDescent="0.2">
      <c r="A83">
        <v>81</v>
      </c>
      <c r="B83" s="2" t="s">
        <v>42</v>
      </c>
      <c r="C83" s="2" t="s">
        <v>14</v>
      </c>
      <c r="D83" s="2" t="s">
        <v>10</v>
      </c>
      <c r="E83" s="2" t="s">
        <v>15</v>
      </c>
      <c r="F83" s="2" t="s">
        <v>25</v>
      </c>
      <c r="G83">
        <v>1</v>
      </c>
      <c r="H83" s="2" t="s">
        <v>13</v>
      </c>
      <c r="I83" s="2" t="s">
        <v>86</v>
      </c>
      <c r="J83">
        <v>1</v>
      </c>
      <c r="K83">
        <v>1</v>
      </c>
      <c r="L83">
        <f>correct_ratio_df__3[[#This Row],[available]]-correct_ratio_df__3[[#This Row],[stable]]</f>
        <v>0</v>
      </c>
    </row>
    <row r="84" spans="1:12" x14ac:dyDescent="0.2">
      <c r="A84">
        <v>82</v>
      </c>
      <c r="B84" s="2" t="s">
        <v>43</v>
      </c>
      <c r="C84" s="2" t="s">
        <v>16</v>
      </c>
      <c r="D84" s="2" t="s">
        <v>17</v>
      </c>
      <c r="E84" s="2" t="s">
        <v>11</v>
      </c>
      <c r="F84" s="2" t="s">
        <v>25</v>
      </c>
      <c r="G84">
        <v>1</v>
      </c>
      <c r="H84" s="2" t="s">
        <v>13</v>
      </c>
      <c r="I84" s="2" t="s">
        <v>86</v>
      </c>
      <c r="J84">
        <v>1</v>
      </c>
      <c r="K84">
        <v>1</v>
      </c>
      <c r="L84">
        <f>correct_ratio_df__3[[#This Row],[available]]-correct_ratio_df__3[[#This Row],[stable]]</f>
        <v>0</v>
      </c>
    </row>
    <row r="85" spans="1:12" x14ac:dyDescent="0.2">
      <c r="A85">
        <v>83</v>
      </c>
      <c r="B85" s="2" t="s">
        <v>44</v>
      </c>
      <c r="C85" s="2" t="s">
        <v>16</v>
      </c>
      <c r="D85" s="2" t="s">
        <v>10</v>
      </c>
      <c r="E85" s="2" t="s">
        <v>15</v>
      </c>
      <c r="F85" s="2" t="s">
        <v>25</v>
      </c>
      <c r="G85">
        <v>1</v>
      </c>
      <c r="H85" s="2" t="s">
        <v>13</v>
      </c>
      <c r="I85" s="2" t="s">
        <v>86</v>
      </c>
      <c r="J85">
        <v>1</v>
      </c>
      <c r="K85">
        <v>1</v>
      </c>
      <c r="L85">
        <f>correct_ratio_df__3[[#This Row],[available]]-correct_ratio_df__3[[#This Row],[stable]]</f>
        <v>0</v>
      </c>
    </row>
    <row r="86" spans="1:12" x14ac:dyDescent="0.2">
      <c r="A86">
        <v>84</v>
      </c>
      <c r="B86" s="2" t="s">
        <v>45</v>
      </c>
      <c r="C86" s="2" t="s">
        <v>14</v>
      </c>
      <c r="D86" s="2" t="s">
        <v>18</v>
      </c>
      <c r="E86" s="2" t="s">
        <v>15</v>
      </c>
      <c r="F86" s="2" t="s">
        <v>25</v>
      </c>
      <c r="G86">
        <v>1</v>
      </c>
      <c r="H86" s="2" t="s">
        <v>13</v>
      </c>
      <c r="I86" s="2" t="s">
        <v>86</v>
      </c>
      <c r="J86">
        <v>1</v>
      </c>
      <c r="K86">
        <v>1</v>
      </c>
      <c r="L86">
        <f>correct_ratio_df__3[[#This Row],[available]]-correct_ratio_df__3[[#This Row],[stable]]</f>
        <v>0</v>
      </c>
    </row>
    <row r="87" spans="1:12" x14ac:dyDescent="0.2">
      <c r="A87">
        <v>85</v>
      </c>
      <c r="B87" s="2" t="s">
        <v>46</v>
      </c>
      <c r="C87" s="2" t="s">
        <v>14</v>
      </c>
      <c r="D87" s="2" t="s">
        <v>10</v>
      </c>
      <c r="E87" s="2" t="s">
        <v>15</v>
      </c>
      <c r="F87" s="2" t="s">
        <v>25</v>
      </c>
      <c r="G87">
        <v>1</v>
      </c>
      <c r="H87" s="2" t="s">
        <v>13</v>
      </c>
      <c r="I87" s="2" t="s">
        <v>86</v>
      </c>
      <c r="J87">
        <v>1</v>
      </c>
      <c r="K87">
        <v>1</v>
      </c>
      <c r="L87">
        <f>correct_ratio_df__3[[#This Row],[available]]-correct_ratio_df__3[[#This Row],[stable]]</f>
        <v>0</v>
      </c>
    </row>
    <row r="88" spans="1:12" x14ac:dyDescent="0.2">
      <c r="A88">
        <v>86</v>
      </c>
      <c r="B88" s="2" t="s">
        <v>47</v>
      </c>
      <c r="C88" s="2" t="s">
        <v>19</v>
      </c>
      <c r="D88" s="2" t="s">
        <v>10</v>
      </c>
      <c r="E88" s="2" t="s">
        <v>15</v>
      </c>
      <c r="F88" s="2" t="s">
        <v>25</v>
      </c>
      <c r="G88">
        <v>1</v>
      </c>
      <c r="H88" s="2" t="s">
        <v>13</v>
      </c>
      <c r="I88" s="2" t="s">
        <v>86</v>
      </c>
      <c r="J88">
        <v>1</v>
      </c>
      <c r="K88">
        <v>1</v>
      </c>
      <c r="L88">
        <f>correct_ratio_df__3[[#This Row],[available]]-correct_ratio_df__3[[#This Row],[stable]]</f>
        <v>0</v>
      </c>
    </row>
    <row r="89" spans="1:12" x14ac:dyDescent="0.2">
      <c r="A89">
        <v>87</v>
      </c>
      <c r="B89" s="2" t="s">
        <v>48</v>
      </c>
      <c r="C89" s="2" t="s">
        <v>16</v>
      </c>
      <c r="D89" s="2" t="s">
        <v>20</v>
      </c>
      <c r="E89" s="2" t="s">
        <v>21</v>
      </c>
      <c r="F89" s="2" t="s">
        <v>25</v>
      </c>
      <c r="G89">
        <v>1</v>
      </c>
      <c r="H89" s="2" t="s">
        <v>13</v>
      </c>
      <c r="I89" s="2" t="s">
        <v>86</v>
      </c>
      <c r="J89">
        <v>1</v>
      </c>
      <c r="K89">
        <v>1</v>
      </c>
      <c r="L89">
        <f>correct_ratio_df__3[[#This Row],[available]]-correct_ratio_df__3[[#This Row],[stable]]</f>
        <v>0</v>
      </c>
    </row>
    <row r="90" spans="1:12" x14ac:dyDescent="0.2">
      <c r="A90">
        <v>88</v>
      </c>
      <c r="B90" s="2" t="s">
        <v>49</v>
      </c>
      <c r="C90" s="2" t="s">
        <v>16</v>
      </c>
      <c r="D90" s="2" t="s">
        <v>10</v>
      </c>
      <c r="E90" s="2" t="s">
        <v>21</v>
      </c>
      <c r="F90" s="2" t="s">
        <v>25</v>
      </c>
      <c r="G90">
        <v>1</v>
      </c>
      <c r="H90" s="2" t="s">
        <v>13</v>
      </c>
      <c r="I90" s="2" t="s">
        <v>86</v>
      </c>
      <c r="J90">
        <v>1</v>
      </c>
      <c r="K90">
        <v>1</v>
      </c>
      <c r="L90">
        <f>correct_ratio_df__3[[#This Row],[available]]-correct_ratio_df__3[[#This Row],[stable]]</f>
        <v>0</v>
      </c>
    </row>
    <row r="91" spans="1:12" x14ac:dyDescent="0.2">
      <c r="A91">
        <v>89</v>
      </c>
      <c r="B91" s="2" t="s">
        <v>50</v>
      </c>
      <c r="C91" s="2" t="s">
        <v>9</v>
      </c>
      <c r="D91" s="2" t="s">
        <v>17</v>
      </c>
      <c r="E91" s="2" t="s">
        <v>21</v>
      </c>
      <c r="F91" s="2" t="s">
        <v>25</v>
      </c>
      <c r="G91">
        <v>1</v>
      </c>
      <c r="H91" s="2" t="s">
        <v>13</v>
      </c>
      <c r="I91" s="2" t="s">
        <v>86</v>
      </c>
      <c r="J91">
        <v>1</v>
      </c>
      <c r="K91">
        <v>1</v>
      </c>
      <c r="L91">
        <f>correct_ratio_df__3[[#This Row],[available]]-correct_ratio_df__3[[#This Row],[stable]]</f>
        <v>0</v>
      </c>
    </row>
    <row r="92" spans="1:12" x14ac:dyDescent="0.2">
      <c r="A92">
        <v>90</v>
      </c>
      <c r="B92" s="2" t="s">
        <v>51</v>
      </c>
      <c r="C92" s="2" t="s">
        <v>16</v>
      </c>
      <c r="D92" s="2" t="s">
        <v>17</v>
      </c>
      <c r="E92" s="2" t="s">
        <v>11</v>
      </c>
      <c r="F92" s="2" t="s">
        <v>25</v>
      </c>
      <c r="G92">
        <v>1</v>
      </c>
      <c r="H92" s="2" t="s">
        <v>13</v>
      </c>
      <c r="I92" s="2" t="s">
        <v>86</v>
      </c>
      <c r="J92">
        <v>1</v>
      </c>
      <c r="K92">
        <v>1</v>
      </c>
      <c r="L92">
        <f>correct_ratio_df__3[[#This Row],[available]]-correct_ratio_df__3[[#This Row],[stable]]</f>
        <v>0</v>
      </c>
    </row>
    <row r="93" spans="1:12" x14ac:dyDescent="0.2">
      <c r="A93">
        <v>91</v>
      </c>
      <c r="B93" s="2" t="s">
        <v>52</v>
      </c>
      <c r="C93" s="2" t="s">
        <v>9</v>
      </c>
      <c r="D93" s="2" t="s">
        <v>17</v>
      </c>
      <c r="E93" s="2" t="s">
        <v>15</v>
      </c>
      <c r="F93" s="2" t="s">
        <v>25</v>
      </c>
      <c r="G93">
        <v>1</v>
      </c>
      <c r="H93" s="2" t="s">
        <v>13</v>
      </c>
      <c r="I93" s="2" t="s">
        <v>86</v>
      </c>
      <c r="J93">
        <v>1</v>
      </c>
      <c r="K93">
        <v>1</v>
      </c>
      <c r="L93">
        <f>correct_ratio_df__3[[#This Row],[available]]-correct_ratio_df__3[[#This Row],[stable]]</f>
        <v>0</v>
      </c>
    </row>
    <row r="94" spans="1:12" x14ac:dyDescent="0.2">
      <c r="A94">
        <v>92</v>
      </c>
      <c r="B94" s="2" t="s">
        <v>53</v>
      </c>
      <c r="C94" s="2" t="s">
        <v>19</v>
      </c>
      <c r="D94" s="2" t="s">
        <v>17</v>
      </c>
      <c r="E94" s="2" t="s">
        <v>21</v>
      </c>
      <c r="F94" s="2" t="s">
        <v>25</v>
      </c>
      <c r="G94">
        <v>1</v>
      </c>
      <c r="H94" s="2" t="s">
        <v>13</v>
      </c>
      <c r="I94" s="2" t="s">
        <v>86</v>
      </c>
      <c r="J94">
        <v>1</v>
      </c>
      <c r="K94">
        <v>1</v>
      </c>
      <c r="L94">
        <f>correct_ratio_df__3[[#This Row],[available]]-correct_ratio_df__3[[#This Row],[stable]]</f>
        <v>0</v>
      </c>
    </row>
    <row r="95" spans="1:12" x14ac:dyDescent="0.2">
      <c r="A95">
        <v>93</v>
      </c>
      <c r="B95" s="2" t="s">
        <v>54</v>
      </c>
      <c r="C95" s="2" t="s">
        <v>14</v>
      </c>
      <c r="D95" s="2" t="s">
        <v>17</v>
      </c>
      <c r="E95" s="2" t="s">
        <v>15</v>
      </c>
      <c r="F95" s="2" t="s">
        <v>25</v>
      </c>
      <c r="G95">
        <v>1</v>
      </c>
      <c r="H95" s="2" t="s">
        <v>13</v>
      </c>
      <c r="I95" s="2" t="s">
        <v>86</v>
      </c>
      <c r="J95">
        <v>1</v>
      </c>
      <c r="K95">
        <v>1</v>
      </c>
      <c r="L95">
        <f>correct_ratio_df__3[[#This Row],[available]]-correct_ratio_df__3[[#This Row],[stable]]</f>
        <v>0</v>
      </c>
    </row>
    <row r="96" spans="1:12" x14ac:dyDescent="0.2">
      <c r="A96">
        <v>94</v>
      </c>
      <c r="B96" s="2" t="s">
        <v>55</v>
      </c>
      <c r="C96" s="2" t="s">
        <v>9</v>
      </c>
      <c r="D96" s="2" t="s">
        <v>18</v>
      </c>
      <c r="E96" s="2" t="s">
        <v>21</v>
      </c>
      <c r="F96" s="2" t="s">
        <v>25</v>
      </c>
      <c r="G96">
        <v>1</v>
      </c>
      <c r="H96" s="2" t="s">
        <v>13</v>
      </c>
      <c r="I96" s="2" t="s">
        <v>86</v>
      </c>
      <c r="J96">
        <v>1</v>
      </c>
      <c r="K96">
        <v>1</v>
      </c>
      <c r="L96">
        <f>correct_ratio_df__3[[#This Row],[available]]-correct_ratio_df__3[[#This Row],[stable]]</f>
        <v>0</v>
      </c>
    </row>
    <row r="97" spans="1:12" x14ac:dyDescent="0.2">
      <c r="A97">
        <v>95</v>
      </c>
      <c r="B97" s="2" t="s">
        <v>56</v>
      </c>
      <c r="C97" s="2" t="s">
        <v>19</v>
      </c>
      <c r="D97" s="2" t="s">
        <v>17</v>
      </c>
      <c r="E97" s="2" t="s">
        <v>21</v>
      </c>
      <c r="F97" s="2" t="s">
        <v>25</v>
      </c>
      <c r="G97">
        <v>1</v>
      </c>
      <c r="H97" s="2" t="s">
        <v>13</v>
      </c>
      <c r="I97" s="2" t="s">
        <v>86</v>
      </c>
      <c r="J97">
        <v>1</v>
      </c>
      <c r="K97">
        <v>1</v>
      </c>
      <c r="L97">
        <f>correct_ratio_df__3[[#This Row],[available]]-correct_ratio_df__3[[#This Row],[stable]]</f>
        <v>0</v>
      </c>
    </row>
    <row r="98" spans="1:12" x14ac:dyDescent="0.2">
      <c r="A98">
        <v>96</v>
      </c>
      <c r="B98" s="2" t="s">
        <v>57</v>
      </c>
      <c r="C98" s="2" t="s">
        <v>9</v>
      </c>
      <c r="D98" s="2" t="s">
        <v>17</v>
      </c>
      <c r="E98" s="2" t="s">
        <v>21</v>
      </c>
      <c r="F98" s="2" t="s">
        <v>25</v>
      </c>
      <c r="G98">
        <v>1</v>
      </c>
      <c r="H98" s="2" t="s">
        <v>13</v>
      </c>
      <c r="I98" s="2" t="s">
        <v>86</v>
      </c>
      <c r="J98">
        <v>1</v>
      </c>
      <c r="K98">
        <v>1</v>
      </c>
      <c r="L98">
        <f>correct_ratio_df__3[[#This Row],[available]]-correct_ratio_df__3[[#This Row],[stable]]</f>
        <v>0</v>
      </c>
    </row>
    <row r="99" spans="1:12" x14ac:dyDescent="0.2">
      <c r="A99">
        <v>97</v>
      </c>
      <c r="B99" s="2" t="s">
        <v>58</v>
      </c>
      <c r="C99" s="2" t="s">
        <v>9</v>
      </c>
      <c r="D99" s="2" t="s">
        <v>17</v>
      </c>
      <c r="E99" s="2" t="s">
        <v>21</v>
      </c>
      <c r="F99" s="2" t="s">
        <v>25</v>
      </c>
      <c r="G99">
        <v>0</v>
      </c>
      <c r="H99" s="2" t="s">
        <v>13</v>
      </c>
      <c r="I99" s="2" t="s">
        <v>86</v>
      </c>
      <c r="J99">
        <v>0</v>
      </c>
      <c r="K99">
        <v>0</v>
      </c>
      <c r="L99">
        <f>correct_ratio_df__3[[#This Row],[available]]-correct_ratio_df__3[[#This Row],[stable]]</f>
        <v>0</v>
      </c>
    </row>
    <row r="100" spans="1:12" x14ac:dyDescent="0.2">
      <c r="A100">
        <v>98</v>
      </c>
      <c r="B100" s="2" t="s">
        <v>59</v>
      </c>
      <c r="C100" s="2" t="s">
        <v>19</v>
      </c>
      <c r="D100" s="2" t="s">
        <v>17</v>
      </c>
      <c r="E100" s="2" t="s">
        <v>15</v>
      </c>
      <c r="F100" s="2" t="s">
        <v>25</v>
      </c>
      <c r="G100">
        <v>1</v>
      </c>
      <c r="H100" s="2" t="s">
        <v>13</v>
      </c>
      <c r="I100" s="2" t="s">
        <v>86</v>
      </c>
      <c r="J100">
        <v>1</v>
      </c>
      <c r="K100">
        <v>1</v>
      </c>
      <c r="L100">
        <f>correct_ratio_df__3[[#This Row],[available]]-correct_ratio_df__3[[#This Row],[stable]]</f>
        <v>0</v>
      </c>
    </row>
    <row r="101" spans="1:12" x14ac:dyDescent="0.2">
      <c r="A101">
        <v>99</v>
      </c>
      <c r="B101" s="2" t="s">
        <v>60</v>
      </c>
      <c r="C101" s="2" t="s">
        <v>9</v>
      </c>
      <c r="D101" s="2" t="s">
        <v>17</v>
      </c>
      <c r="E101" s="2" t="s">
        <v>21</v>
      </c>
      <c r="F101" s="2" t="s">
        <v>25</v>
      </c>
      <c r="G101">
        <v>0.66666666666666663</v>
      </c>
      <c r="H101" s="2" t="s">
        <v>13</v>
      </c>
      <c r="I101" s="2" t="s">
        <v>86</v>
      </c>
      <c r="J101">
        <v>1</v>
      </c>
      <c r="K101">
        <v>0</v>
      </c>
      <c r="L101">
        <f>correct_ratio_df__3[[#This Row],[available]]-correct_ratio_df__3[[#This Row],[stable]]</f>
        <v>1</v>
      </c>
    </row>
    <row r="102" spans="1:12" x14ac:dyDescent="0.2">
      <c r="A102">
        <v>100</v>
      </c>
      <c r="B102" s="2" t="s">
        <v>61</v>
      </c>
      <c r="C102" s="2" t="s">
        <v>14</v>
      </c>
      <c r="D102" s="2" t="s">
        <v>10</v>
      </c>
      <c r="E102" s="2" t="s">
        <v>11</v>
      </c>
      <c r="F102" s="2" t="s">
        <v>25</v>
      </c>
      <c r="G102">
        <v>1</v>
      </c>
      <c r="H102" s="2" t="s">
        <v>13</v>
      </c>
      <c r="I102" s="2" t="s">
        <v>86</v>
      </c>
      <c r="J102">
        <v>1</v>
      </c>
      <c r="K102">
        <v>1</v>
      </c>
      <c r="L102">
        <f>correct_ratio_df__3[[#This Row],[available]]-correct_ratio_df__3[[#This Row],[stable]]</f>
        <v>0</v>
      </c>
    </row>
    <row r="103" spans="1:12" x14ac:dyDescent="0.2">
      <c r="A103">
        <v>101</v>
      </c>
      <c r="B103" s="2" t="s">
        <v>62</v>
      </c>
      <c r="C103" s="2" t="s">
        <v>16</v>
      </c>
      <c r="D103" s="2" t="s">
        <v>18</v>
      </c>
      <c r="E103" s="2" t="s">
        <v>11</v>
      </c>
      <c r="F103" s="2" t="s">
        <v>25</v>
      </c>
      <c r="G103">
        <v>0.66666666666666663</v>
      </c>
      <c r="H103" s="2" t="s">
        <v>13</v>
      </c>
      <c r="I103" s="2" t="s">
        <v>86</v>
      </c>
      <c r="J103">
        <v>1</v>
      </c>
      <c r="K103">
        <v>0</v>
      </c>
      <c r="L103">
        <f>correct_ratio_df__3[[#This Row],[available]]-correct_ratio_df__3[[#This Row],[stable]]</f>
        <v>1</v>
      </c>
    </row>
    <row r="104" spans="1:12" x14ac:dyDescent="0.2">
      <c r="A104">
        <v>102</v>
      </c>
      <c r="B104" s="2" t="s">
        <v>63</v>
      </c>
      <c r="C104" s="2" t="s">
        <v>9</v>
      </c>
      <c r="D104" s="2" t="s">
        <v>20</v>
      </c>
      <c r="E104" s="2" t="s">
        <v>15</v>
      </c>
      <c r="F104" s="2" t="s">
        <v>25</v>
      </c>
      <c r="G104">
        <v>1</v>
      </c>
      <c r="H104" s="2" t="s">
        <v>13</v>
      </c>
      <c r="I104" s="2" t="s">
        <v>86</v>
      </c>
      <c r="J104">
        <v>1</v>
      </c>
      <c r="K104">
        <v>1</v>
      </c>
      <c r="L104">
        <f>correct_ratio_df__3[[#This Row],[available]]-correct_ratio_df__3[[#This Row],[stable]]</f>
        <v>0</v>
      </c>
    </row>
    <row r="105" spans="1:12" x14ac:dyDescent="0.2">
      <c r="A105">
        <v>103</v>
      </c>
      <c r="B105" s="2" t="s">
        <v>64</v>
      </c>
      <c r="C105" s="2" t="s">
        <v>14</v>
      </c>
      <c r="D105" s="2" t="s">
        <v>17</v>
      </c>
      <c r="E105" s="2" t="s">
        <v>11</v>
      </c>
      <c r="F105" s="2" t="s">
        <v>25</v>
      </c>
      <c r="G105">
        <v>1</v>
      </c>
      <c r="H105" s="2" t="s">
        <v>13</v>
      </c>
      <c r="I105" s="2" t="s">
        <v>86</v>
      </c>
      <c r="J105">
        <v>1</v>
      </c>
      <c r="K105">
        <v>1</v>
      </c>
      <c r="L105">
        <f>correct_ratio_df__3[[#This Row],[available]]-correct_ratio_df__3[[#This Row],[stable]]</f>
        <v>0</v>
      </c>
    </row>
    <row r="106" spans="1:12" x14ac:dyDescent="0.2">
      <c r="A106">
        <v>104</v>
      </c>
      <c r="B106" s="2" t="s">
        <v>65</v>
      </c>
      <c r="C106" s="2" t="s">
        <v>19</v>
      </c>
      <c r="D106" s="2" t="s">
        <v>18</v>
      </c>
      <c r="E106" s="2" t="s">
        <v>21</v>
      </c>
      <c r="F106" s="2" t="s">
        <v>25</v>
      </c>
      <c r="G106">
        <v>1</v>
      </c>
      <c r="H106" s="2" t="s">
        <v>13</v>
      </c>
      <c r="I106" s="2" t="s">
        <v>86</v>
      </c>
      <c r="J106">
        <v>1</v>
      </c>
      <c r="K106">
        <v>1</v>
      </c>
      <c r="L106">
        <f>correct_ratio_df__3[[#This Row],[available]]-correct_ratio_df__3[[#This Row],[stable]]</f>
        <v>0</v>
      </c>
    </row>
    <row r="107" spans="1:12" x14ac:dyDescent="0.2">
      <c r="A107">
        <v>105</v>
      </c>
      <c r="B107" s="2" t="s">
        <v>66</v>
      </c>
      <c r="C107" s="2" t="s">
        <v>14</v>
      </c>
      <c r="D107" s="2" t="s">
        <v>18</v>
      </c>
      <c r="E107" s="2" t="s">
        <v>15</v>
      </c>
      <c r="F107" s="2" t="s">
        <v>25</v>
      </c>
      <c r="G107">
        <v>1</v>
      </c>
      <c r="H107" s="2" t="s">
        <v>13</v>
      </c>
      <c r="I107" s="2" t="s">
        <v>86</v>
      </c>
      <c r="J107">
        <v>1</v>
      </c>
      <c r="K107">
        <v>1</v>
      </c>
      <c r="L107">
        <f>correct_ratio_df__3[[#This Row],[available]]-correct_ratio_df__3[[#This Row],[stable]]</f>
        <v>0</v>
      </c>
    </row>
    <row r="108" spans="1:12" x14ac:dyDescent="0.2">
      <c r="A108">
        <v>106</v>
      </c>
      <c r="B108" s="2" t="s">
        <v>67</v>
      </c>
      <c r="C108" s="2" t="s">
        <v>9</v>
      </c>
      <c r="D108" s="2" t="s">
        <v>17</v>
      </c>
      <c r="E108" s="2" t="s">
        <v>21</v>
      </c>
      <c r="F108" s="2" t="s">
        <v>25</v>
      </c>
      <c r="G108">
        <v>1</v>
      </c>
      <c r="H108" s="2" t="s">
        <v>13</v>
      </c>
      <c r="I108" s="2" t="s">
        <v>86</v>
      </c>
      <c r="J108">
        <v>1</v>
      </c>
      <c r="K108">
        <v>1</v>
      </c>
      <c r="L108">
        <f>correct_ratio_df__3[[#This Row],[available]]-correct_ratio_df__3[[#This Row],[stable]]</f>
        <v>0</v>
      </c>
    </row>
    <row r="109" spans="1:12" x14ac:dyDescent="0.2">
      <c r="A109">
        <v>107</v>
      </c>
      <c r="B109" s="2" t="s">
        <v>68</v>
      </c>
      <c r="C109" s="2" t="s">
        <v>14</v>
      </c>
      <c r="D109" s="2" t="s">
        <v>17</v>
      </c>
      <c r="E109" s="2" t="s">
        <v>15</v>
      </c>
      <c r="F109" s="2" t="s">
        <v>25</v>
      </c>
      <c r="G109">
        <v>1</v>
      </c>
      <c r="H109" s="2" t="s">
        <v>13</v>
      </c>
      <c r="I109" s="2" t="s">
        <v>86</v>
      </c>
      <c r="J109">
        <v>1</v>
      </c>
      <c r="K109">
        <v>1</v>
      </c>
      <c r="L109">
        <f>correct_ratio_df__3[[#This Row],[available]]-correct_ratio_df__3[[#This Row],[stable]]</f>
        <v>0</v>
      </c>
    </row>
    <row r="110" spans="1:12" x14ac:dyDescent="0.2">
      <c r="A110">
        <v>108</v>
      </c>
      <c r="B110" s="2" t="s">
        <v>69</v>
      </c>
      <c r="C110" s="2" t="s">
        <v>22</v>
      </c>
      <c r="D110" s="2" t="s">
        <v>17</v>
      </c>
      <c r="E110" s="2" t="s">
        <v>11</v>
      </c>
      <c r="F110" s="2" t="s">
        <v>25</v>
      </c>
      <c r="G110">
        <v>1</v>
      </c>
      <c r="H110" s="2" t="s">
        <v>13</v>
      </c>
      <c r="I110" s="2" t="s">
        <v>86</v>
      </c>
      <c r="J110">
        <v>1</v>
      </c>
      <c r="K110">
        <v>1</v>
      </c>
      <c r="L110">
        <f>correct_ratio_df__3[[#This Row],[available]]-correct_ratio_df__3[[#This Row],[stable]]</f>
        <v>0</v>
      </c>
    </row>
    <row r="111" spans="1:12" x14ac:dyDescent="0.2">
      <c r="A111">
        <v>109</v>
      </c>
      <c r="B111" s="2" t="s">
        <v>70</v>
      </c>
      <c r="C111" s="2" t="s">
        <v>9</v>
      </c>
      <c r="D111" s="2" t="s">
        <v>17</v>
      </c>
      <c r="E111" s="2" t="s">
        <v>15</v>
      </c>
      <c r="F111" s="2" t="s">
        <v>25</v>
      </c>
      <c r="G111">
        <v>1</v>
      </c>
      <c r="H111" s="2" t="s">
        <v>13</v>
      </c>
      <c r="I111" s="2" t="s">
        <v>86</v>
      </c>
      <c r="J111">
        <v>1</v>
      </c>
      <c r="K111">
        <v>1</v>
      </c>
      <c r="L111">
        <f>correct_ratio_df__3[[#This Row],[available]]-correct_ratio_df__3[[#This Row],[stable]]</f>
        <v>0</v>
      </c>
    </row>
    <row r="112" spans="1:12" x14ac:dyDescent="0.2">
      <c r="A112">
        <v>110</v>
      </c>
      <c r="B112" s="2" t="s">
        <v>71</v>
      </c>
      <c r="C112" s="2" t="s">
        <v>9</v>
      </c>
      <c r="D112" s="2" t="s">
        <v>17</v>
      </c>
      <c r="E112" s="2" t="s">
        <v>21</v>
      </c>
      <c r="F112" s="2" t="s">
        <v>25</v>
      </c>
      <c r="G112">
        <v>0</v>
      </c>
      <c r="H112" s="2" t="s">
        <v>13</v>
      </c>
      <c r="I112" s="2" t="s">
        <v>86</v>
      </c>
      <c r="J112">
        <v>0</v>
      </c>
      <c r="K112">
        <v>0</v>
      </c>
      <c r="L112">
        <f>correct_ratio_df__3[[#This Row],[available]]-correct_ratio_df__3[[#This Row],[stable]]</f>
        <v>0</v>
      </c>
    </row>
    <row r="113" spans="1:12" x14ac:dyDescent="0.2">
      <c r="A113">
        <v>111</v>
      </c>
      <c r="B113" s="2" t="s">
        <v>72</v>
      </c>
      <c r="C113" s="2" t="s">
        <v>19</v>
      </c>
      <c r="D113" s="2" t="s">
        <v>17</v>
      </c>
      <c r="E113" s="2" t="s">
        <v>11</v>
      </c>
      <c r="F113" s="2" t="s">
        <v>25</v>
      </c>
      <c r="G113">
        <v>1</v>
      </c>
      <c r="H113" s="2" t="s">
        <v>13</v>
      </c>
      <c r="I113" s="2" t="s">
        <v>86</v>
      </c>
      <c r="J113">
        <v>1</v>
      </c>
      <c r="K113">
        <v>1</v>
      </c>
      <c r="L113">
        <f>correct_ratio_df__3[[#This Row],[available]]-correct_ratio_df__3[[#This Row],[stable]]</f>
        <v>0</v>
      </c>
    </row>
    <row r="114" spans="1:12" x14ac:dyDescent="0.2">
      <c r="A114">
        <v>112</v>
      </c>
      <c r="B114" s="2" t="s">
        <v>73</v>
      </c>
      <c r="C114" s="2" t="s">
        <v>16</v>
      </c>
      <c r="D114" s="2" t="s">
        <v>17</v>
      </c>
      <c r="E114" s="2" t="s">
        <v>11</v>
      </c>
      <c r="F114" s="2" t="s">
        <v>25</v>
      </c>
      <c r="G114">
        <v>1</v>
      </c>
      <c r="H114" s="2" t="s">
        <v>13</v>
      </c>
      <c r="I114" s="2" t="s">
        <v>86</v>
      </c>
      <c r="J114">
        <v>1</v>
      </c>
      <c r="K114">
        <v>1</v>
      </c>
      <c r="L114">
        <f>correct_ratio_df__3[[#This Row],[available]]-correct_ratio_df__3[[#This Row],[stable]]</f>
        <v>0</v>
      </c>
    </row>
    <row r="115" spans="1:12" x14ac:dyDescent="0.2">
      <c r="A115">
        <v>113</v>
      </c>
      <c r="B115" s="2" t="s">
        <v>74</v>
      </c>
      <c r="C115" s="2" t="s">
        <v>22</v>
      </c>
      <c r="D115" s="2" t="s">
        <v>17</v>
      </c>
      <c r="E115" s="2" t="s">
        <v>21</v>
      </c>
      <c r="F115" s="2" t="s">
        <v>25</v>
      </c>
      <c r="G115">
        <v>1</v>
      </c>
      <c r="H115" s="2" t="s">
        <v>13</v>
      </c>
      <c r="I115" s="2" t="s">
        <v>86</v>
      </c>
      <c r="J115">
        <v>1</v>
      </c>
      <c r="K115">
        <v>1</v>
      </c>
      <c r="L115">
        <f>correct_ratio_df__3[[#This Row],[available]]-correct_ratio_df__3[[#This Row],[stable]]</f>
        <v>0</v>
      </c>
    </row>
    <row r="116" spans="1:12" x14ac:dyDescent="0.2">
      <c r="A116">
        <v>114</v>
      </c>
      <c r="B116" s="2" t="s">
        <v>75</v>
      </c>
      <c r="C116" s="2" t="s">
        <v>14</v>
      </c>
      <c r="D116" s="2" t="s">
        <v>17</v>
      </c>
      <c r="E116" s="2" t="s">
        <v>21</v>
      </c>
      <c r="F116" s="2" t="s">
        <v>25</v>
      </c>
      <c r="G116">
        <v>1</v>
      </c>
      <c r="H116" s="2" t="s">
        <v>13</v>
      </c>
      <c r="I116" s="2" t="s">
        <v>86</v>
      </c>
      <c r="J116">
        <v>1</v>
      </c>
      <c r="K116">
        <v>1</v>
      </c>
      <c r="L116">
        <f>correct_ratio_df__3[[#This Row],[available]]-correct_ratio_df__3[[#This Row],[stable]]</f>
        <v>0</v>
      </c>
    </row>
    <row r="117" spans="1:12" x14ac:dyDescent="0.2">
      <c r="A117">
        <v>115</v>
      </c>
      <c r="B117" s="2" t="s">
        <v>76</v>
      </c>
      <c r="C117" s="2" t="s">
        <v>14</v>
      </c>
      <c r="D117" s="2" t="s">
        <v>10</v>
      </c>
      <c r="E117" s="2" t="s">
        <v>21</v>
      </c>
      <c r="F117" s="2" t="s">
        <v>25</v>
      </c>
      <c r="G117">
        <v>1</v>
      </c>
      <c r="H117" s="2" t="s">
        <v>13</v>
      </c>
      <c r="I117" s="2" t="s">
        <v>86</v>
      </c>
      <c r="J117">
        <v>1</v>
      </c>
      <c r="K117">
        <v>1</v>
      </c>
      <c r="L117">
        <f>correct_ratio_df__3[[#This Row],[available]]-correct_ratio_df__3[[#This Row],[stable]]</f>
        <v>0</v>
      </c>
    </row>
    <row r="118" spans="1:12" x14ac:dyDescent="0.2">
      <c r="A118">
        <v>116</v>
      </c>
      <c r="B118" s="2" t="s">
        <v>77</v>
      </c>
      <c r="C118" s="2" t="s">
        <v>9</v>
      </c>
      <c r="D118" s="2" t="s">
        <v>17</v>
      </c>
      <c r="E118" s="2" t="s">
        <v>15</v>
      </c>
      <c r="F118" s="2" t="s">
        <v>25</v>
      </c>
      <c r="G118">
        <v>1</v>
      </c>
      <c r="H118" s="2" t="s">
        <v>13</v>
      </c>
      <c r="I118" s="2" t="s">
        <v>86</v>
      </c>
      <c r="J118">
        <v>1</v>
      </c>
      <c r="K118">
        <v>1</v>
      </c>
      <c r="L118">
        <f>correct_ratio_df__3[[#This Row],[available]]-correct_ratio_df__3[[#This Row],[stable]]</f>
        <v>0</v>
      </c>
    </row>
    <row r="119" spans="1:12" x14ac:dyDescent="0.2">
      <c r="A119">
        <v>117</v>
      </c>
      <c r="B119" s="2" t="s">
        <v>78</v>
      </c>
      <c r="C119" s="2" t="s">
        <v>9</v>
      </c>
      <c r="D119" s="2" t="s">
        <v>17</v>
      </c>
      <c r="E119" s="2" t="s">
        <v>21</v>
      </c>
      <c r="F119" s="2" t="s">
        <v>25</v>
      </c>
      <c r="G119">
        <v>1</v>
      </c>
      <c r="H119" s="2" t="s">
        <v>13</v>
      </c>
      <c r="I119" s="2" t="s">
        <v>86</v>
      </c>
      <c r="J119">
        <v>1</v>
      </c>
      <c r="K119">
        <v>1</v>
      </c>
      <c r="L119">
        <f>correct_ratio_df__3[[#This Row],[available]]-correct_ratio_df__3[[#This Row],[stable]]</f>
        <v>0</v>
      </c>
    </row>
    <row r="120" spans="1:12" x14ac:dyDescent="0.2">
      <c r="A120">
        <v>118</v>
      </c>
      <c r="B120" s="2" t="s">
        <v>79</v>
      </c>
      <c r="C120" s="2" t="s">
        <v>14</v>
      </c>
      <c r="D120" s="2" t="s">
        <v>17</v>
      </c>
      <c r="E120" s="2" t="s">
        <v>11</v>
      </c>
      <c r="F120" s="2" t="s">
        <v>25</v>
      </c>
      <c r="G120">
        <v>1</v>
      </c>
      <c r="H120" s="2" t="s">
        <v>13</v>
      </c>
      <c r="I120" s="2" t="s">
        <v>86</v>
      </c>
      <c r="J120">
        <v>1</v>
      </c>
      <c r="K120">
        <v>1</v>
      </c>
      <c r="L120">
        <f>correct_ratio_df__3[[#This Row],[available]]-correct_ratio_df__3[[#This Row],[stable]]</f>
        <v>0</v>
      </c>
    </row>
    <row r="121" spans="1:12" x14ac:dyDescent="0.2">
      <c r="A121">
        <v>119</v>
      </c>
      <c r="B121" s="2" t="s">
        <v>80</v>
      </c>
      <c r="C121" s="2" t="s">
        <v>22</v>
      </c>
      <c r="D121" s="2" t="s">
        <v>20</v>
      </c>
      <c r="E121" s="2" t="s">
        <v>11</v>
      </c>
      <c r="F121" s="2" t="s">
        <v>25</v>
      </c>
      <c r="G121">
        <v>0.33333333333333331</v>
      </c>
      <c r="H121" s="2" t="s">
        <v>13</v>
      </c>
      <c r="I121" s="2" t="s">
        <v>86</v>
      </c>
      <c r="J121">
        <v>1</v>
      </c>
      <c r="K121">
        <v>0</v>
      </c>
      <c r="L121">
        <f>correct_ratio_df__3[[#This Row],[available]]-correct_ratio_df__3[[#This Row],[stable]]</f>
        <v>1</v>
      </c>
    </row>
    <row r="122" spans="1:12" x14ac:dyDescent="0.2">
      <c r="A122">
        <v>120</v>
      </c>
      <c r="B122" s="2" t="s">
        <v>41</v>
      </c>
      <c r="C122" s="2" t="s">
        <v>9</v>
      </c>
      <c r="D122" s="2" t="s">
        <v>10</v>
      </c>
      <c r="E122" s="2" t="s">
        <v>11</v>
      </c>
      <c r="F122" s="2" t="s">
        <v>81</v>
      </c>
      <c r="G122">
        <v>1</v>
      </c>
      <c r="H122" s="2" t="s">
        <v>30</v>
      </c>
      <c r="I122" s="2" t="s">
        <v>90</v>
      </c>
      <c r="J122">
        <v>1</v>
      </c>
      <c r="K122">
        <v>1</v>
      </c>
      <c r="L122">
        <f>correct_ratio_df__3[[#This Row],[available]]-correct_ratio_df__3[[#This Row],[stable]]</f>
        <v>0</v>
      </c>
    </row>
    <row r="123" spans="1:12" x14ac:dyDescent="0.2">
      <c r="A123">
        <v>121</v>
      </c>
      <c r="B123" s="2" t="s">
        <v>42</v>
      </c>
      <c r="C123" s="2" t="s">
        <v>14</v>
      </c>
      <c r="D123" s="2" t="s">
        <v>10</v>
      </c>
      <c r="E123" s="2" t="s">
        <v>15</v>
      </c>
      <c r="F123" s="2" t="s">
        <v>81</v>
      </c>
      <c r="G123">
        <v>1</v>
      </c>
      <c r="H123" s="2" t="s">
        <v>30</v>
      </c>
      <c r="I123" s="2" t="s">
        <v>90</v>
      </c>
      <c r="J123">
        <v>1</v>
      </c>
      <c r="K123">
        <v>1</v>
      </c>
      <c r="L123">
        <f>correct_ratio_df__3[[#This Row],[available]]-correct_ratio_df__3[[#This Row],[stable]]</f>
        <v>0</v>
      </c>
    </row>
    <row r="124" spans="1:12" x14ac:dyDescent="0.2">
      <c r="A124">
        <v>122</v>
      </c>
      <c r="B124" s="2" t="s">
        <v>43</v>
      </c>
      <c r="C124" s="2" t="s">
        <v>16</v>
      </c>
      <c r="D124" s="2" t="s">
        <v>17</v>
      </c>
      <c r="E124" s="2" t="s">
        <v>11</v>
      </c>
      <c r="F124" s="2" t="s">
        <v>81</v>
      </c>
      <c r="G124">
        <v>1</v>
      </c>
      <c r="H124" s="2" t="s">
        <v>30</v>
      </c>
      <c r="I124" s="2" t="s">
        <v>90</v>
      </c>
      <c r="J124">
        <v>1</v>
      </c>
      <c r="K124">
        <v>1</v>
      </c>
      <c r="L124">
        <f>correct_ratio_df__3[[#This Row],[available]]-correct_ratio_df__3[[#This Row],[stable]]</f>
        <v>0</v>
      </c>
    </row>
    <row r="125" spans="1:12" x14ac:dyDescent="0.2">
      <c r="A125">
        <v>123</v>
      </c>
      <c r="B125" s="2" t="s">
        <v>44</v>
      </c>
      <c r="C125" s="2" t="s">
        <v>16</v>
      </c>
      <c r="D125" s="2" t="s">
        <v>10</v>
      </c>
      <c r="E125" s="2" t="s">
        <v>15</v>
      </c>
      <c r="F125" s="2" t="s">
        <v>81</v>
      </c>
      <c r="G125">
        <v>0.66666666666666663</v>
      </c>
      <c r="H125" s="2" t="s">
        <v>30</v>
      </c>
      <c r="I125" s="2" t="s">
        <v>90</v>
      </c>
      <c r="J125">
        <v>1</v>
      </c>
      <c r="K125">
        <v>0</v>
      </c>
      <c r="L125">
        <f>correct_ratio_df__3[[#This Row],[available]]-correct_ratio_df__3[[#This Row],[stable]]</f>
        <v>1</v>
      </c>
    </row>
    <row r="126" spans="1:12" x14ac:dyDescent="0.2">
      <c r="A126">
        <v>124</v>
      </c>
      <c r="B126" s="2" t="s">
        <v>45</v>
      </c>
      <c r="C126" s="2" t="s">
        <v>14</v>
      </c>
      <c r="D126" s="2" t="s">
        <v>18</v>
      </c>
      <c r="E126" s="2" t="s">
        <v>15</v>
      </c>
      <c r="F126" s="2" t="s">
        <v>81</v>
      </c>
      <c r="G126">
        <v>1</v>
      </c>
      <c r="H126" s="2" t="s">
        <v>30</v>
      </c>
      <c r="I126" s="2" t="s">
        <v>90</v>
      </c>
      <c r="J126">
        <v>1</v>
      </c>
      <c r="K126">
        <v>1</v>
      </c>
      <c r="L126">
        <f>correct_ratio_df__3[[#This Row],[available]]-correct_ratio_df__3[[#This Row],[stable]]</f>
        <v>0</v>
      </c>
    </row>
    <row r="127" spans="1:12" x14ac:dyDescent="0.2">
      <c r="A127">
        <v>125</v>
      </c>
      <c r="B127" s="2" t="s">
        <v>46</v>
      </c>
      <c r="C127" s="2" t="s">
        <v>14</v>
      </c>
      <c r="D127" s="2" t="s">
        <v>10</v>
      </c>
      <c r="E127" s="2" t="s">
        <v>15</v>
      </c>
      <c r="F127" s="2" t="s">
        <v>81</v>
      </c>
      <c r="G127">
        <v>0</v>
      </c>
      <c r="H127" s="2" t="s">
        <v>30</v>
      </c>
      <c r="I127" s="2" t="s">
        <v>90</v>
      </c>
      <c r="J127">
        <v>0</v>
      </c>
      <c r="K127">
        <v>0</v>
      </c>
      <c r="L127">
        <f>correct_ratio_df__3[[#This Row],[available]]-correct_ratio_df__3[[#This Row],[stable]]</f>
        <v>0</v>
      </c>
    </row>
    <row r="128" spans="1:12" x14ac:dyDescent="0.2">
      <c r="A128">
        <v>126</v>
      </c>
      <c r="B128" s="2" t="s">
        <v>47</v>
      </c>
      <c r="C128" s="2" t="s">
        <v>19</v>
      </c>
      <c r="D128" s="2" t="s">
        <v>10</v>
      </c>
      <c r="E128" s="2" t="s">
        <v>15</v>
      </c>
      <c r="F128" s="2" t="s">
        <v>81</v>
      </c>
      <c r="G128">
        <v>1</v>
      </c>
      <c r="H128" s="2" t="s">
        <v>30</v>
      </c>
      <c r="I128" s="2" t="s">
        <v>90</v>
      </c>
      <c r="J128">
        <v>1</v>
      </c>
      <c r="K128">
        <v>1</v>
      </c>
      <c r="L128">
        <f>correct_ratio_df__3[[#This Row],[available]]-correct_ratio_df__3[[#This Row],[stable]]</f>
        <v>0</v>
      </c>
    </row>
    <row r="129" spans="1:12" x14ac:dyDescent="0.2">
      <c r="A129">
        <v>127</v>
      </c>
      <c r="B129" s="2" t="s">
        <v>48</v>
      </c>
      <c r="C129" s="2" t="s">
        <v>16</v>
      </c>
      <c r="D129" s="2" t="s">
        <v>20</v>
      </c>
      <c r="E129" s="2" t="s">
        <v>21</v>
      </c>
      <c r="F129" s="2" t="s">
        <v>81</v>
      </c>
      <c r="G129">
        <v>0.33333333333333331</v>
      </c>
      <c r="H129" s="2" t="s">
        <v>30</v>
      </c>
      <c r="I129" s="2" t="s">
        <v>90</v>
      </c>
      <c r="J129">
        <v>1</v>
      </c>
      <c r="K129">
        <v>0</v>
      </c>
      <c r="L129">
        <f>correct_ratio_df__3[[#This Row],[available]]-correct_ratio_df__3[[#This Row],[stable]]</f>
        <v>1</v>
      </c>
    </row>
    <row r="130" spans="1:12" x14ac:dyDescent="0.2">
      <c r="A130">
        <v>128</v>
      </c>
      <c r="B130" s="2" t="s">
        <v>49</v>
      </c>
      <c r="C130" s="2" t="s">
        <v>16</v>
      </c>
      <c r="D130" s="2" t="s">
        <v>10</v>
      </c>
      <c r="E130" s="2" t="s">
        <v>21</v>
      </c>
      <c r="F130" s="2" t="s">
        <v>81</v>
      </c>
      <c r="G130">
        <v>0.66666666666666663</v>
      </c>
      <c r="H130" s="2" t="s">
        <v>30</v>
      </c>
      <c r="I130" s="2" t="s">
        <v>90</v>
      </c>
      <c r="J130">
        <v>1</v>
      </c>
      <c r="K130">
        <v>0</v>
      </c>
      <c r="L130">
        <f>correct_ratio_df__3[[#This Row],[available]]-correct_ratio_df__3[[#This Row],[stable]]</f>
        <v>1</v>
      </c>
    </row>
    <row r="131" spans="1:12" x14ac:dyDescent="0.2">
      <c r="A131">
        <v>129</v>
      </c>
      <c r="B131" s="2" t="s">
        <v>50</v>
      </c>
      <c r="C131" s="2" t="s">
        <v>9</v>
      </c>
      <c r="D131" s="2" t="s">
        <v>17</v>
      </c>
      <c r="E131" s="2" t="s">
        <v>21</v>
      </c>
      <c r="F131" s="2" t="s">
        <v>81</v>
      </c>
      <c r="G131">
        <v>0</v>
      </c>
      <c r="H131" s="2" t="s">
        <v>30</v>
      </c>
      <c r="I131" s="2" t="s">
        <v>90</v>
      </c>
      <c r="J131">
        <v>0</v>
      </c>
      <c r="K131">
        <v>0</v>
      </c>
      <c r="L131">
        <f>correct_ratio_df__3[[#This Row],[available]]-correct_ratio_df__3[[#This Row],[stable]]</f>
        <v>0</v>
      </c>
    </row>
    <row r="132" spans="1:12" x14ac:dyDescent="0.2">
      <c r="A132">
        <v>130</v>
      </c>
      <c r="B132" s="2" t="s">
        <v>51</v>
      </c>
      <c r="C132" s="2" t="s">
        <v>16</v>
      </c>
      <c r="D132" s="2" t="s">
        <v>17</v>
      </c>
      <c r="E132" s="2" t="s">
        <v>11</v>
      </c>
      <c r="F132" s="2" t="s">
        <v>81</v>
      </c>
      <c r="G132">
        <v>0.66666666666666663</v>
      </c>
      <c r="H132" s="2" t="s">
        <v>30</v>
      </c>
      <c r="I132" s="2" t="s">
        <v>90</v>
      </c>
      <c r="J132">
        <v>1</v>
      </c>
      <c r="K132">
        <v>0</v>
      </c>
      <c r="L132">
        <f>correct_ratio_df__3[[#This Row],[available]]-correct_ratio_df__3[[#This Row],[stable]]</f>
        <v>1</v>
      </c>
    </row>
    <row r="133" spans="1:12" x14ac:dyDescent="0.2">
      <c r="A133">
        <v>131</v>
      </c>
      <c r="B133" s="2" t="s">
        <v>52</v>
      </c>
      <c r="C133" s="2" t="s">
        <v>9</v>
      </c>
      <c r="D133" s="2" t="s">
        <v>17</v>
      </c>
      <c r="E133" s="2" t="s">
        <v>15</v>
      </c>
      <c r="F133" s="2" t="s">
        <v>81</v>
      </c>
      <c r="G133">
        <v>1</v>
      </c>
      <c r="H133" s="2" t="s">
        <v>30</v>
      </c>
      <c r="I133" s="2" t="s">
        <v>90</v>
      </c>
      <c r="J133">
        <v>1</v>
      </c>
      <c r="K133">
        <v>1</v>
      </c>
      <c r="L133">
        <f>correct_ratio_df__3[[#This Row],[available]]-correct_ratio_df__3[[#This Row],[stable]]</f>
        <v>0</v>
      </c>
    </row>
    <row r="134" spans="1:12" x14ac:dyDescent="0.2">
      <c r="A134">
        <v>132</v>
      </c>
      <c r="B134" s="2" t="s">
        <v>53</v>
      </c>
      <c r="C134" s="2" t="s">
        <v>19</v>
      </c>
      <c r="D134" s="2" t="s">
        <v>17</v>
      </c>
      <c r="E134" s="2" t="s">
        <v>21</v>
      </c>
      <c r="F134" s="2" t="s">
        <v>81</v>
      </c>
      <c r="G134">
        <v>1</v>
      </c>
      <c r="H134" s="2" t="s">
        <v>30</v>
      </c>
      <c r="I134" s="2" t="s">
        <v>90</v>
      </c>
      <c r="J134">
        <v>1</v>
      </c>
      <c r="K134">
        <v>1</v>
      </c>
      <c r="L134">
        <f>correct_ratio_df__3[[#This Row],[available]]-correct_ratio_df__3[[#This Row],[stable]]</f>
        <v>0</v>
      </c>
    </row>
    <row r="135" spans="1:12" x14ac:dyDescent="0.2">
      <c r="A135">
        <v>133</v>
      </c>
      <c r="B135" s="2" t="s">
        <v>54</v>
      </c>
      <c r="C135" s="2" t="s">
        <v>14</v>
      </c>
      <c r="D135" s="2" t="s">
        <v>17</v>
      </c>
      <c r="E135" s="2" t="s">
        <v>15</v>
      </c>
      <c r="F135" s="2" t="s">
        <v>81</v>
      </c>
      <c r="G135">
        <v>1</v>
      </c>
      <c r="H135" s="2" t="s">
        <v>30</v>
      </c>
      <c r="I135" s="2" t="s">
        <v>90</v>
      </c>
      <c r="J135">
        <v>1</v>
      </c>
      <c r="K135">
        <v>1</v>
      </c>
      <c r="L135">
        <f>correct_ratio_df__3[[#This Row],[available]]-correct_ratio_df__3[[#This Row],[stable]]</f>
        <v>0</v>
      </c>
    </row>
    <row r="136" spans="1:12" x14ac:dyDescent="0.2">
      <c r="A136">
        <v>134</v>
      </c>
      <c r="B136" s="2" t="s">
        <v>55</v>
      </c>
      <c r="C136" s="2" t="s">
        <v>9</v>
      </c>
      <c r="D136" s="2" t="s">
        <v>18</v>
      </c>
      <c r="E136" s="2" t="s">
        <v>21</v>
      </c>
      <c r="F136" s="2" t="s">
        <v>81</v>
      </c>
      <c r="G136">
        <v>1</v>
      </c>
      <c r="H136" s="2" t="s">
        <v>30</v>
      </c>
      <c r="I136" s="2" t="s">
        <v>90</v>
      </c>
      <c r="J136">
        <v>1</v>
      </c>
      <c r="K136">
        <v>1</v>
      </c>
      <c r="L136">
        <f>correct_ratio_df__3[[#This Row],[available]]-correct_ratio_df__3[[#This Row],[stable]]</f>
        <v>0</v>
      </c>
    </row>
    <row r="137" spans="1:12" x14ac:dyDescent="0.2">
      <c r="A137">
        <v>135</v>
      </c>
      <c r="B137" s="2" t="s">
        <v>56</v>
      </c>
      <c r="C137" s="2" t="s">
        <v>19</v>
      </c>
      <c r="D137" s="2" t="s">
        <v>17</v>
      </c>
      <c r="E137" s="2" t="s">
        <v>21</v>
      </c>
      <c r="F137" s="2" t="s">
        <v>81</v>
      </c>
      <c r="G137">
        <v>0</v>
      </c>
      <c r="H137" s="2" t="s">
        <v>30</v>
      </c>
      <c r="I137" s="2" t="s">
        <v>90</v>
      </c>
      <c r="J137">
        <v>0</v>
      </c>
      <c r="K137">
        <v>0</v>
      </c>
      <c r="L137">
        <f>correct_ratio_df__3[[#This Row],[available]]-correct_ratio_df__3[[#This Row],[stable]]</f>
        <v>0</v>
      </c>
    </row>
    <row r="138" spans="1:12" x14ac:dyDescent="0.2">
      <c r="A138">
        <v>136</v>
      </c>
      <c r="B138" s="2" t="s">
        <v>57</v>
      </c>
      <c r="C138" s="2" t="s">
        <v>9</v>
      </c>
      <c r="D138" s="2" t="s">
        <v>17</v>
      </c>
      <c r="E138" s="2" t="s">
        <v>21</v>
      </c>
      <c r="F138" s="2" t="s">
        <v>81</v>
      </c>
      <c r="G138">
        <v>1</v>
      </c>
      <c r="H138" s="2" t="s">
        <v>30</v>
      </c>
      <c r="I138" s="2" t="s">
        <v>90</v>
      </c>
      <c r="J138">
        <v>1</v>
      </c>
      <c r="K138">
        <v>1</v>
      </c>
      <c r="L138">
        <f>correct_ratio_df__3[[#This Row],[available]]-correct_ratio_df__3[[#This Row],[stable]]</f>
        <v>0</v>
      </c>
    </row>
    <row r="139" spans="1:12" x14ac:dyDescent="0.2">
      <c r="A139">
        <v>137</v>
      </c>
      <c r="B139" s="2" t="s">
        <v>58</v>
      </c>
      <c r="C139" s="2" t="s">
        <v>9</v>
      </c>
      <c r="D139" s="2" t="s">
        <v>17</v>
      </c>
      <c r="E139" s="2" t="s">
        <v>21</v>
      </c>
      <c r="F139" s="2" t="s">
        <v>81</v>
      </c>
      <c r="G139">
        <v>0</v>
      </c>
      <c r="H139" s="2" t="s">
        <v>30</v>
      </c>
      <c r="I139" s="2" t="s">
        <v>90</v>
      </c>
      <c r="J139">
        <v>0</v>
      </c>
      <c r="K139">
        <v>0</v>
      </c>
      <c r="L139">
        <f>correct_ratio_df__3[[#This Row],[available]]-correct_ratio_df__3[[#This Row],[stable]]</f>
        <v>0</v>
      </c>
    </row>
    <row r="140" spans="1:12" x14ac:dyDescent="0.2">
      <c r="A140">
        <v>138</v>
      </c>
      <c r="B140" s="2" t="s">
        <v>59</v>
      </c>
      <c r="C140" s="2" t="s">
        <v>19</v>
      </c>
      <c r="D140" s="2" t="s">
        <v>17</v>
      </c>
      <c r="E140" s="2" t="s">
        <v>15</v>
      </c>
      <c r="F140" s="2" t="s">
        <v>81</v>
      </c>
      <c r="G140">
        <v>0.66666666666666663</v>
      </c>
      <c r="H140" s="2" t="s">
        <v>30</v>
      </c>
      <c r="I140" s="2" t="s">
        <v>90</v>
      </c>
      <c r="J140">
        <v>1</v>
      </c>
      <c r="K140">
        <v>0</v>
      </c>
      <c r="L140">
        <f>correct_ratio_df__3[[#This Row],[available]]-correct_ratio_df__3[[#This Row],[stable]]</f>
        <v>1</v>
      </c>
    </row>
    <row r="141" spans="1:12" x14ac:dyDescent="0.2">
      <c r="A141">
        <v>139</v>
      </c>
      <c r="B141" s="2" t="s">
        <v>60</v>
      </c>
      <c r="C141" s="2" t="s">
        <v>9</v>
      </c>
      <c r="D141" s="2" t="s">
        <v>17</v>
      </c>
      <c r="E141" s="2" t="s">
        <v>21</v>
      </c>
      <c r="F141" s="2" t="s">
        <v>81</v>
      </c>
      <c r="G141">
        <v>0.33333333333333331</v>
      </c>
      <c r="H141" s="2" t="s">
        <v>30</v>
      </c>
      <c r="I141" s="2" t="s">
        <v>90</v>
      </c>
      <c r="J141">
        <v>1</v>
      </c>
      <c r="K141">
        <v>0</v>
      </c>
      <c r="L141">
        <f>correct_ratio_df__3[[#This Row],[available]]-correct_ratio_df__3[[#This Row],[stable]]</f>
        <v>1</v>
      </c>
    </row>
    <row r="142" spans="1:12" x14ac:dyDescent="0.2">
      <c r="A142">
        <v>140</v>
      </c>
      <c r="B142" s="2" t="s">
        <v>61</v>
      </c>
      <c r="C142" s="2" t="s">
        <v>14</v>
      </c>
      <c r="D142" s="2" t="s">
        <v>10</v>
      </c>
      <c r="E142" s="2" t="s">
        <v>11</v>
      </c>
      <c r="F142" s="2" t="s">
        <v>81</v>
      </c>
      <c r="G142">
        <v>1</v>
      </c>
      <c r="H142" s="2" t="s">
        <v>30</v>
      </c>
      <c r="I142" s="2" t="s">
        <v>90</v>
      </c>
      <c r="J142">
        <v>1</v>
      </c>
      <c r="K142">
        <v>1</v>
      </c>
      <c r="L142">
        <f>correct_ratio_df__3[[#This Row],[available]]-correct_ratio_df__3[[#This Row],[stable]]</f>
        <v>0</v>
      </c>
    </row>
    <row r="143" spans="1:12" x14ac:dyDescent="0.2">
      <c r="A143">
        <v>141</v>
      </c>
      <c r="B143" s="2" t="s">
        <v>62</v>
      </c>
      <c r="C143" s="2" t="s">
        <v>16</v>
      </c>
      <c r="D143" s="2" t="s">
        <v>18</v>
      </c>
      <c r="E143" s="2" t="s">
        <v>11</v>
      </c>
      <c r="F143" s="2" t="s">
        <v>81</v>
      </c>
      <c r="G143">
        <v>1</v>
      </c>
      <c r="H143" s="2" t="s">
        <v>30</v>
      </c>
      <c r="I143" s="2" t="s">
        <v>90</v>
      </c>
      <c r="J143">
        <v>1</v>
      </c>
      <c r="K143">
        <v>1</v>
      </c>
      <c r="L143">
        <f>correct_ratio_df__3[[#This Row],[available]]-correct_ratio_df__3[[#This Row],[stable]]</f>
        <v>0</v>
      </c>
    </row>
    <row r="144" spans="1:12" x14ac:dyDescent="0.2">
      <c r="A144">
        <v>142</v>
      </c>
      <c r="B144" s="2" t="s">
        <v>63</v>
      </c>
      <c r="C144" s="2" t="s">
        <v>9</v>
      </c>
      <c r="D144" s="2" t="s">
        <v>20</v>
      </c>
      <c r="E144" s="2" t="s">
        <v>15</v>
      </c>
      <c r="F144" s="2" t="s">
        <v>81</v>
      </c>
      <c r="G144">
        <v>1</v>
      </c>
      <c r="H144" s="2" t="s">
        <v>30</v>
      </c>
      <c r="I144" s="2" t="s">
        <v>90</v>
      </c>
      <c r="J144">
        <v>1</v>
      </c>
      <c r="K144">
        <v>1</v>
      </c>
      <c r="L144">
        <f>correct_ratio_df__3[[#This Row],[available]]-correct_ratio_df__3[[#This Row],[stable]]</f>
        <v>0</v>
      </c>
    </row>
    <row r="145" spans="1:12" x14ac:dyDescent="0.2">
      <c r="A145">
        <v>143</v>
      </c>
      <c r="B145" s="2" t="s">
        <v>64</v>
      </c>
      <c r="C145" s="2" t="s">
        <v>14</v>
      </c>
      <c r="D145" s="2" t="s">
        <v>17</v>
      </c>
      <c r="E145" s="2" t="s">
        <v>11</v>
      </c>
      <c r="F145" s="2" t="s">
        <v>81</v>
      </c>
      <c r="G145">
        <v>1</v>
      </c>
      <c r="H145" s="2" t="s">
        <v>30</v>
      </c>
      <c r="I145" s="2" t="s">
        <v>90</v>
      </c>
      <c r="J145">
        <v>1</v>
      </c>
      <c r="K145">
        <v>1</v>
      </c>
      <c r="L145">
        <f>correct_ratio_df__3[[#This Row],[available]]-correct_ratio_df__3[[#This Row],[stable]]</f>
        <v>0</v>
      </c>
    </row>
    <row r="146" spans="1:12" x14ac:dyDescent="0.2">
      <c r="A146">
        <v>144</v>
      </c>
      <c r="B146" s="2" t="s">
        <v>65</v>
      </c>
      <c r="C146" s="2" t="s">
        <v>19</v>
      </c>
      <c r="D146" s="2" t="s">
        <v>18</v>
      </c>
      <c r="E146" s="2" t="s">
        <v>21</v>
      </c>
      <c r="F146" s="2" t="s">
        <v>81</v>
      </c>
      <c r="G146">
        <v>1</v>
      </c>
      <c r="H146" s="2" t="s">
        <v>30</v>
      </c>
      <c r="I146" s="2" t="s">
        <v>90</v>
      </c>
      <c r="J146">
        <v>1</v>
      </c>
      <c r="K146">
        <v>1</v>
      </c>
      <c r="L146">
        <f>correct_ratio_df__3[[#This Row],[available]]-correct_ratio_df__3[[#This Row],[stable]]</f>
        <v>0</v>
      </c>
    </row>
    <row r="147" spans="1:12" x14ac:dyDescent="0.2">
      <c r="A147">
        <v>145</v>
      </c>
      <c r="B147" s="2" t="s">
        <v>66</v>
      </c>
      <c r="C147" s="2" t="s">
        <v>14</v>
      </c>
      <c r="D147" s="2" t="s">
        <v>18</v>
      </c>
      <c r="E147" s="2" t="s">
        <v>15</v>
      </c>
      <c r="F147" s="2" t="s">
        <v>81</v>
      </c>
      <c r="G147">
        <v>1</v>
      </c>
      <c r="H147" s="2" t="s">
        <v>30</v>
      </c>
      <c r="I147" s="2" t="s">
        <v>90</v>
      </c>
      <c r="J147">
        <v>1</v>
      </c>
      <c r="K147">
        <v>1</v>
      </c>
      <c r="L147">
        <f>correct_ratio_df__3[[#This Row],[available]]-correct_ratio_df__3[[#This Row],[stable]]</f>
        <v>0</v>
      </c>
    </row>
    <row r="148" spans="1:12" x14ac:dyDescent="0.2">
      <c r="A148">
        <v>146</v>
      </c>
      <c r="B148" s="2" t="s">
        <v>67</v>
      </c>
      <c r="C148" s="2" t="s">
        <v>9</v>
      </c>
      <c r="D148" s="2" t="s">
        <v>17</v>
      </c>
      <c r="E148" s="2" t="s">
        <v>21</v>
      </c>
      <c r="F148" s="2" t="s">
        <v>81</v>
      </c>
      <c r="G148">
        <v>0.66666666666666663</v>
      </c>
      <c r="H148" s="2" t="s">
        <v>30</v>
      </c>
      <c r="I148" s="2" t="s">
        <v>90</v>
      </c>
      <c r="J148">
        <v>1</v>
      </c>
      <c r="K148">
        <v>0</v>
      </c>
      <c r="L148">
        <f>correct_ratio_df__3[[#This Row],[available]]-correct_ratio_df__3[[#This Row],[stable]]</f>
        <v>1</v>
      </c>
    </row>
    <row r="149" spans="1:12" x14ac:dyDescent="0.2">
      <c r="A149">
        <v>147</v>
      </c>
      <c r="B149" s="2" t="s">
        <v>68</v>
      </c>
      <c r="C149" s="2" t="s">
        <v>14</v>
      </c>
      <c r="D149" s="2" t="s">
        <v>17</v>
      </c>
      <c r="E149" s="2" t="s">
        <v>15</v>
      </c>
      <c r="F149" s="2" t="s">
        <v>81</v>
      </c>
      <c r="G149">
        <v>0.66666666666666663</v>
      </c>
      <c r="H149" s="2" t="s">
        <v>30</v>
      </c>
      <c r="I149" s="2" t="s">
        <v>90</v>
      </c>
      <c r="J149">
        <v>1</v>
      </c>
      <c r="K149">
        <v>0</v>
      </c>
      <c r="L149">
        <f>correct_ratio_df__3[[#This Row],[available]]-correct_ratio_df__3[[#This Row],[stable]]</f>
        <v>1</v>
      </c>
    </row>
    <row r="150" spans="1:12" x14ac:dyDescent="0.2">
      <c r="A150">
        <v>148</v>
      </c>
      <c r="B150" s="2" t="s">
        <v>69</v>
      </c>
      <c r="C150" s="2" t="s">
        <v>22</v>
      </c>
      <c r="D150" s="2" t="s">
        <v>17</v>
      </c>
      <c r="E150" s="2" t="s">
        <v>11</v>
      </c>
      <c r="F150" s="2" t="s">
        <v>81</v>
      </c>
      <c r="G150">
        <v>1</v>
      </c>
      <c r="H150" s="2" t="s">
        <v>30</v>
      </c>
      <c r="I150" s="2" t="s">
        <v>90</v>
      </c>
      <c r="J150">
        <v>1</v>
      </c>
      <c r="K150">
        <v>1</v>
      </c>
      <c r="L150">
        <f>correct_ratio_df__3[[#This Row],[available]]-correct_ratio_df__3[[#This Row],[stable]]</f>
        <v>0</v>
      </c>
    </row>
    <row r="151" spans="1:12" x14ac:dyDescent="0.2">
      <c r="A151">
        <v>149</v>
      </c>
      <c r="B151" s="2" t="s">
        <v>70</v>
      </c>
      <c r="C151" s="2" t="s">
        <v>9</v>
      </c>
      <c r="D151" s="2" t="s">
        <v>17</v>
      </c>
      <c r="E151" s="2" t="s">
        <v>15</v>
      </c>
      <c r="F151" s="2" t="s">
        <v>81</v>
      </c>
      <c r="G151">
        <v>0.33333333333333331</v>
      </c>
      <c r="H151" s="2" t="s">
        <v>30</v>
      </c>
      <c r="I151" s="2" t="s">
        <v>90</v>
      </c>
      <c r="J151">
        <v>1</v>
      </c>
      <c r="K151">
        <v>0</v>
      </c>
      <c r="L151">
        <f>correct_ratio_df__3[[#This Row],[available]]-correct_ratio_df__3[[#This Row],[stable]]</f>
        <v>1</v>
      </c>
    </row>
    <row r="152" spans="1:12" x14ac:dyDescent="0.2">
      <c r="A152">
        <v>150</v>
      </c>
      <c r="B152" s="2" t="s">
        <v>71</v>
      </c>
      <c r="C152" s="2" t="s">
        <v>9</v>
      </c>
      <c r="D152" s="2" t="s">
        <v>17</v>
      </c>
      <c r="E152" s="2" t="s">
        <v>21</v>
      </c>
      <c r="F152" s="2" t="s">
        <v>81</v>
      </c>
      <c r="G152">
        <v>0.66666666666666663</v>
      </c>
      <c r="H152" s="2" t="s">
        <v>30</v>
      </c>
      <c r="I152" s="2" t="s">
        <v>90</v>
      </c>
      <c r="J152">
        <v>1</v>
      </c>
      <c r="K152">
        <v>0</v>
      </c>
      <c r="L152">
        <f>correct_ratio_df__3[[#This Row],[available]]-correct_ratio_df__3[[#This Row],[stable]]</f>
        <v>1</v>
      </c>
    </row>
    <row r="153" spans="1:12" x14ac:dyDescent="0.2">
      <c r="A153">
        <v>151</v>
      </c>
      <c r="B153" s="2" t="s">
        <v>72</v>
      </c>
      <c r="C153" s="2" t="s">
        <v>19</v>
      </c>
      <c r="D153" s="2" t="s">
        <v>17</v>
      </c>
      <c r="E153" s="2" t="s">
        <v>11</v>
      </c>
      <c r="F153" s="2" t="s">
        <v>81</v>
      </c>
      <c r="G153">
        <v>0</v>
      </c>
      <c r="H153" s="2" t="s">
        <v>30</v>
      </c>
      <c r="I153" s="2" t="s">
        <v>90</v>
      </c>
      <c r="J153">
        <v>0</v>
      </c>
      <c r="K153">
        <v>0</v>
      </c>
      <c r="L153">
        <f>correct_ratio_df__3[[#This Row],[available]]-correct_ratio_df__3[[#This Row],[stable]]</f>
        <v>0</v>
      </c>
    </row>
    <row r="154" spans="1:12" x14ac:dyDescent="0.2">
      <c r="A154">
        <v>152</v>
      </c>
      <c r="B154" s="2" t="s">
        <v>73</v>
      </c>
      <c r="C154" s="2" t="s">
        <v>16</v>
      </c>
      <c r="D154" s="2" t="s">
        <v>17</v>
      </c>
      <c r="E154" s="2" t="s">
        <v>11</v>
      </c>
      <c r="F154" s="2" t="s">
        <v>81</v>
      </c>
      <c r="G154">
        <v>0.33333333333333331</v>
      </c>
      <c r="H154" s="2" t="s">
        <v>30</v>
      </c>
      <c r="I154" s="2" t="s">
        <v>90</v>
      </c>
      <c r="J154">
        <v>1</v>
      </c>
      <c r="K154">
        <v>0</v>
      </c>
      <c r="L154">
        <f>correct_ratio_df__3[[#This Row],[available]]-correct_ratio_df__3[[#This Row],[stable]]</f>
        <v>1</v>
      </c>
    </row>
    <row r="155" spans="1:12" x14ac:dyDescent="0.2">
      <c r="A155">
        <v>153</v>
      </c>
      <c r="B155" s="2" t="s">
        <v>74</v>
      </c>
      <c r="C155" s="2" t="s">
        <v>22</v>
      </c>
      <c r="D155" s="2" t="s">
        <v>17</v>
      </c>
      <c r="E155" s="2" t="s">
        <v>21</v>
      </c>
      <c r="F155" s="2" t="s">
        <v>81</v>
      </c>
      <c r="G155">
        <v>1</v>
      </c>
      <c r="H155" s="2" t="s">
        <v>30</v>
      </c>
      <c r="I155" s="2" t="s">
        <v>90</v>
      </c>
      <c r="J155">
        <v>1</v>
      </c>
      <c r="K155">
        <v>1</v>
      </c>
      <c r="L155">
        <f>correct_ratio_df__3[[#This Row],[available]]-correct_ratio_df__3[[#This Row],[stable]]</f>
        <v>0</v>
      </c>
    </row>
    <row r="156" spans="1:12" x14ac:dyDescent="0.2">
      <c r="A156">
        <v>154</v>
      </c>
      <c r="B156" s="2" t="s">
        <v>75</v>
      </c>
      <c r="C156" s="2" t="s">
        <v>14</v>
      </c>
      <c r="D156" s="2" t="s">
        <v>17</v>
      </c>
      <c r="E156" s="2" t="s">
        <v>21</v>
      </c>
      <c r="F156" s="2" t="s">
        <v>81</v>
      </c>
      <c r="G156">
        <v>1</v>
      </c>
      <c r="H156" s="2" t="s">
        <v>30</v>
      </c>
      <c r="I156" s="2" t="s">
        <v>90</v>
      </c>
      <c r="J156">
        <v>1</v>
      </c>
      <c r="K156">
        <v>1</v>
      </c>
      <c r="L156">
        <f>correct_ratio_df__3[[#This Row],[available]]-correct_ratio_df__3[[#This Row],[stable]]</f>
        <v>0</v>
      </c>
    </row>
    <row r="157" spans="1:12" x14ac:dyDescent="0.2">
      <c r="A157">
        <v>155</v>
      </c>
      <c r="B157" s="2" t="s">
        <v>76</v>
      </c>
      <c r="C157" s="2" t="s">
        <v>14</v>
      </c>
      <c r="D157" s="2" t="s">
        <v>10</v>
      </c>
      <c r="E157" s="2" t="s">
        <v>21</v>
      </c>
      <c r="F157" s="2" t="s">
        <v>81</v>
      </c>
      <c r="G157">
        <v>1</v>
      </c>
      <c r="H157" s="2" t="s">
        <v>30</v>
      </c>
      <c r="I157" s="2" t="s">
        <v>90</v>
      </c>
      <c r="J157">
        <v>1</v>
      </c>
      <c r="K157">
        <v>1</v>
      </c>
      <c r="L157">
        <f>correct_ratio_df__3[[#This Row],[available]]-correct_ratio_df__3[[#This Row],[stable]]</f>
        <v>0</v>
      </c>
    </row>
    <row r="158" spans="1:12" x14ac:dyDescent="0.2">
      <c r="A158">
        <v>156</v>
      </c>
      <c r="B158" s="2" t="s">
        <v>77</v>
      </c>
      <c r="C158" s="2" t="s">
        <v>9</v>
      </c>
      <c r="D158" s="2" t="s">
        <v>17</v>
      </c>
      <c r="E158" s="2" t="s">
        <v>15</v>
      </c>
      <c r="F158" s="2" t="s">
        <v>81</v>
      </c>
      <c r="G158">
        <v>0</v>
      </c>
      <c r="H158" s="2" t="s">
        <v>30</v>
      </c>
      <c r="I158" s="2" t="s">
        <v>90</v>
      </c>
      <c r="J158">
        <v>0</v>
      </c>
      <c r="K158">
        <v>0</v>
      </c>
      <c r="L158">
        <f>correct_ratio_df__3[[#This Row],[available]]-correct_ratio_df__3[[#This Row],[stable]]</f>
        <v>0</v>
      </c>
    </row>
    <row r="159" spans="1:12" x14ac:dyDescent="0.2">
      <c r="A159">
        <v>157</v>
      </c>
      <c r="B159" s="2" t="s">
        <v>78</v>
      </c>
      <c r="C159" s="2" t="s">
        <v>9</v>
      </c>
      <c r="D159" s="2" t="s">
        <v>17</v>
      </c>
      <c r="E159" s="2" t="s">
        <v>21</v>
      </c>
      <c r="F159" s="2" t="s">
        <v>81</v>
      </c>
      <c r="G159">
        <v>1</v>
      </c>
      <c r="H159" s="2" t="s">
        <v>30</v>
      </c>
      <c r="I159" s="2" t="s">
        <v>90</v>
      </c>
      <c r="J159">
        <v>1</v>
      </c>
      <c r="K159">
        <v>1</v>
      </c>
      <c r="L159">
        <f>correct_ratio_df__3[[#This Row],[available]]-correct_ratio_df__3[[#This Row],[stable]]</f>
        <v>0</v>
      </c>
    </row>
    <row r="160" spans="1:12" x14ac:dyDescent="0.2">
      <c r="A160">
        <v>158</v>
      </c>
      <c r="B160" s="2" t="s">
        <v>79</v>
      </c>
      <c r="C160" s="2" t="s">
        <v>14</v>
      </c>
      <c r="D160" s="2" t="s">
        <v>17</v>
      </c>
      <c r="E160" s="2" t="s">
        <v>11</v>
      </c>
      <c r="F160" s="2" t="s">
        <v>81</v>
      </c>
      <c r="G160">
        <v>1</v>
      </c>
      <c r="H160" s="2" t="s">
        <v>30</v>
      </c>
      <c r="I160" s="2" t="s">
        <v>90</v>
      </c>
      <c r="J160">
        <v>1</v>
      </c>
      <c r="K160">
        <v>1</v>
      </c>
      <c r="L160">
        <f>correct_ratio_df__3[[#This Row],[available]]-correct_ratio_df__3[[#This Row],[stable]]</f>
        <v>0</v>
      </c>
    </row>
    <row r="161" spans="1:12" x14ac:dyDescent="0.2">
      <c r="A161">
        <v>159</v>
      </c>
      <c r="B161" s="2" t="s">
        <v>80</v>
      </c>
      <c r="C161" s="2" t="s">
        <v>22</v>
      </c>
      <c r="D161" s="2" t="s">
        <v>20</v>
      </c>
      <c r="E161" s="2" t="s">
        <v>11</v>
      </c>
      <c r="F161" s="2" t="s">
        <v>81</v>
      </c>
      <c r="G161">
        <v>0</v>
      </c>
      <c r="H161" s="2" t="s">
        <v>30</v>
      </c>
      <c r="I161" s="2" t="s">
        <v>90</v>
      </c>
      <c r="J161">
        <v>0</v>
      </c>
      <c r="K161">
        <v>0</v>
      </c>
      <c r="L161">
        <f>correct_ratio_df__3[[#This Row],[available]]-correct_ratio_df__3[[#This Row],[stable]]</f>
        <v>0</v>
      </c>
    </row>
    <row r="162" spans="1:12" x14ac:dyDescent="0.2">
      <c r="A162">
        <v>160</v>
      </c>
      <c r="B162" s="2" t="s">
        <v>41</v>
      </c>
      <c r="C162" s="2" t="s">
        <v>9</v>
      </c>
      <c r="D162" s="2" t="s">
        <v>10</v>
      </c>
      <c r="E162" s="2" t="s">
        <v>11</v>
      </c>
      <c r="F162" s="2" t="s">
        <v>26</v>
      </c>
      <c r="G162">
        <v>1</v>
      </c>
      <c r="H162" s="2" t="s">
        <v>13</v>
      </c>
      <c r="I162" s="2" t="s">
        <v>87</v>
      </c>
      <c r="J162">
        <v>1</v>
      </c>
      <c r="K162">
        <v>1</v>
      </c>
      <c r="L162">
        <f>correct_ratio_df__3[[#This Row],[available]]-correct_ratio_df__3[[#This Row],[stable]]</f>
        <v>0</v>
      </c>
    </row>
    <row r="163" spans="1:12" x14ac:dyDescent="0.2">
      <c r="A163">
        <v>161</v>
      </c>
      <c r="B163" s="2" t="s">
        <v>42</v>
      </c>
      <c r="C163" s="2" t="s">
        <v>14</v>
      </c>
      <c r="D163" s="2" t="s">
        <v>10</v>
      </c>
      <c r="E163" s="2" t="s">
        <v>15</v>
      </c>
      <c r="F163" s="2" t="s">
        <v>26</v>
      </c>
      <c r="G163">
        <v>1</v>
      </c>
      <c r="H163" s="2" t="s">
        <v>13</v>
      </c>
      <c r="I163" s="2" t="s">
        <v>87</v>
      </c>
      <c r="J163">
        <v>1</v>
      </c>
      <c r="K163">
        <v>1</v>
      </c>
      <c r="L163">
        <f>correct_ratio_df__3[[#This Row],[available]]-correct_ratio_df__3[[#This Row],[stable]]</f>
        <v>0</v>
      </c>
    </row>
    <row r="164" spans="1:12" x14ac:dyDescent="0.2">
      <c r="A164">
        <v>162</v>
      </c>
      <c r="B164" s="2" t="s">
        <v>43</v>
      </c>
      <c r="C164" s="2" t="s">
        <v>16</v>
      </c>
      <c r="D164" s="2" t="s">
        <v>17</v>
      </c>
      <c r="E164" s="2" t="s">
        <v>11</v>
      </c>
      <c r="F164" s="2" t="s">
        <v>26</v>
      </c>
      <c r="G164">
        <v>1</v>
      </c>
      <c r="H164" s="2" t="s">
        <v>13</v>
      </c>
      <c r="I164" s="2" t="s">
        <v>87</v>
      </c>
      <c r="J164">
        <v>1</v>
      </c>
      <c r="K164">
        <v>1</v>
      </c>
      <c r="L164">
        <f>correct_ratio_df__3[[#This Row],[available]]-correct_ratio_df__3[[#This Row],[stable]]</f>
        <v>0</v>
      </c>
    </row>
    <row r="165" spans="1:12" x14ac:dyDescent="0.2">
      <c r="A165">
        <v>163</v>
      </c>
      <c r="B165" s="2" t="s">
        <v>44</v>
      </c>
      <c r="C165" s="2" t="s">
        <v>16</v>
      </c>
      <c r="D165" s="2" t="s">
        <v>10</v>
      </c>
      <c r="E165" s="2" t="s">
        <v>15</v>
      </c>
      <c r="F165" s="2" t="s">
        <v>26</v>
      </c>
      <c r="G165">
        <v>1</v>
      </c>
      <c r="H165" s="2" t="s">
        <v>13</v>
      </c>
      <c r="I165" s="2" t="s">
        <v>87</v>
      </c>
      <c r="J165">
        <v>1</v>
      </c>
      <c r="K165">
        <v>1</v>
      </c>
      <c r="L165">
        <f>correct_ratio_df__3[[#This Row],[available]]-correct_ratio_df__3[[#This Row],[stable]]</f>
        <v>0</v>
      </c>
    </row>
    <row r="166" spans="1:12" x14ac:dyDescent="0.2">
      <c r="A166">
        <v>164</v>
      </c>
      <c r="B166" s="2" t="s">
        <v>45</v>
      </c>
      <c r="C166" s="2" t="s">
        <v>14</v>
      </c>
      <c r="D166" s="2" t="s">
        <v>18</v>
      </c>
      <c r="E166" s="2" t="s">
        <v>15</v>
      </c>
      <c r="F166" s="2" t="s">
        <v>26</v>
      </c>
      <c r="G166">
        <v>1</v>
      </c>
      <c r="H166" s="2" t="s">
        <v>13</v>
      </c>
      <c r="I166" s="2" t="s">
        <v>87</v>
      </c>
      <c r="J166">
        <v>1</v>
      </c>
      <c r="K166">
        <v>1</v>
      </c>
      <c r="L166">
        <f>correct_ratio_df__3[[#This Row],[available]]-correct_ratio_df__3[[#This Row],[stable]]</f>
        <v>0</v>
      </c>
    </row>
    <row r="167" spans="1:12" x14ac:dyDescent="0.2">
      <c r="A167">
        <v>165</v>
      </c>
      <c r="B167" s="2" t="s">
        <v>46</v>
      </c>
      <c r="C167" s="2" t="s">
        <v>14</v>
      </c>
      <c r="D167" s="2" t="s">
        <v>10</v>
      </c>
      <c r="E167" s="2" t="s">
        <v>15</v>
      </c>
      <c r="F167" s="2" t="s">
        <v>26</v>
      </c>
      <c r="G167">
        <v>1</v>
      </c>
      <c r="H167" s="2" t="s">
        <v>13</v>
      </c>
      <c r="I167" s="2" t="s">
        <v>87</v>
      </c>
      <c r="J167">
        <v>1</v>
      </c>
      <c r="K167">
        <v>1</v>
      </c>
      <c r="L167">
        <f>correct_ratio_df__3[[#This Row],[available]]-correct_ratio_df__3[[#This Row],[stable]]</f>
        <v>0</v>
      </c>
    </row>
    <row r="168" spans="1:12" x14ac:dyDescent="0.2">
      <c r="A168">
        <v>166</v>
      </c>
      <c r="B168" s="2" t="s">
        <v>47</v>
      </c>
      <c r="C168" s="2" t="s">
        <v>19</v>
      </c>
      <c r="D168" s="2" t="s">
        <v>10</v>
      </c>
      <c r="E168" s="2" t="s">
        <v>15</v>
      </c>
      <c r="F168" s="2" t="s">
        <v>26</v>
      </c>
      <c r="G168">
        <v>1</v>
      </c>
      <c r="H168" s="2" t="s">
        <v>13</v>
      </c>
      <c r="I168" s="2" t="s">
        <v>87</v>
      </c>
      <c r="J168">
        <v>1</v>
      </c>
      <c r="K168">
        <v>1</v>
      </c>
      <c r="L168">
        <f>correct_ratio_df__3[[#This Row],[available]]-correct_ratio_df__3[[#This Row],[stable]]</f>
        <v>0</v>
      </c>
    </row>
    <row r="169" spans="1:12" x14ac:dyDescent="0.2">
      <c r="A169">
        <v>167</v>
      </c>
      <c r="B169" s="2" t="s">
        <v>48</v>
      </c>
      <c r="C169" s="2" t="s">
        <v>16</v>
      </c>
      <c r="D169" s="2" t="s">
        <v>20</v>
      </c>
      <c r="E169" s="2" t="s">
        <v>21</v>
      </c>
      <c r="F169" s="2" t="s">
        <v>26</v>
      </c>
      <c r="G169">
        <v>1</v>
      </c>
      <c r="H169" s="2" t="s">
        <v>13</v>
      </c>
      <c r="I169" s="2" t="s">
        <v>87</v>
      </c>
      <c r="J169">
        <v>1</v>
      </c>
      <c r="K169">
        <v>1</v>
      </c>
      <c r="L169">
        <f>correct_ratio_df__3[[#This Row],[available]]-correct_ratio_df__3[[#This Row],[stable]]</f>
        <v>0</v>
      </c>
    </row>
    <row r="170" spans="1:12" x14ac:dyDescent="0.2">
      <c r="A170">
        <v>168</v>
      </c>
      <c r="B170" s="2" t="s">
        <v>49</v>
      </c>
      <c r="C170" s="2" t="s">
        <v>16</v>
      </c>
      <c r="D170" s="2" t="s">
        <v>10</v>
      </c>
      <c r="E170" s="2" t="s">
        <v>21</v>
      </c>
      <c r="F170" s="2" t="s">
        <v>26</v>
      </c>
      <c r="G170">
        <v>1</v>
      </c>
      <c r="H170" s="2" t="s">
        <v>13</v>
      </c>
      <c r="I170" s="2" t="s">
        <v>87</v>
      </c>
      <c r="J170">
        <v>1</v>
      </c>
      <c r="K170">
        <v>1</v>
      </c>
      <c r="L170">
        <f>correct_ratio_df__3[[#This Row],[available]]-correct_ratio_df__3[[#This Row],[stable]]</f>
        <v>0</v>
      </c>
    </row>
    <row r="171" spans="1:12" x14ac:dyDescent="0.2">
      <c r="A171">
        <v>169</v>
      </c>
      <c r="B171" s="2" t="s">
        <v>50</v>
      </c>
      <c r="C171" s="2" t="s">
        <v>9</v>
      </c>
      <c r="D171" s="2" t="s">
        <v>17</v>
      </c>
      <c r="E171" s="2" t="s">
        <v>21</v>
      </c>
      <c r="F171" s="2" t="s">
        <v>26</v>
      </c>
      <c r="G171">
        <v>1</v>
      </c>
      <c r="H171" s="2" t="s">
        <v>13</v>
      </c>
      <c r="I171" s="2" t="s">
        <v>87</v>
      </c>
      <c r="J171">
        <v>1</v>
      </c>
      <c r="K171">
        <v>1</v>
      </c>
      <c r="L171">
        <f>correct_ratio_df__3[[#This Row],[available]]-correct_ratio_df__3[[#This Row],[stable]]</f>
        <v>0</v>
      </c>
    </row>
    <row r="172" spans="1:12" x14ac:dyDescent="0.2">
      <c r="A172">
        <v>170</v>
      </c>
      <c r="B172" s="2" t="s">
        <v>51</v>
      </c>
      <c r="C172" s="2" t="s">
        <v>16</v>
      </c>
      <c r="D172" s="2" t="s">
        <v>17</v>
      </c>
      <c r="E172" s="2" t="s">
        <v>11</v>
      </c>
      <c r="F172" s="2" t="s">
        <v>26</v>
      </c>
      <c r="G172">
        <v>1</v>
      </c>
      <c r="H172" s="2" t="s">
        <v>13</v>
      </c>
      <c r="I172" s="2" t="s">
        <v>87</v>
      </c>
      <c r="J172">
        <v>1</v>
      </c>
      <c r="K172">
        <v>1</v>
      </c>
      <c r="L172">
        <f>correct_ratio_df__3[[#This Row],[available]]-correct_ratio_df__3[[#This Row],[stable]]</f>
        <v>0</v>
      </c>
    </row>
    <row r="173" spans="1:12" x14ac:dyDescent="0.2">
      <c r="A173">
        <v>171</v>
      </c>
      <c r="B173" s="2" t="s">
        <v>52</v>
      </c>
      <c r="C173" s="2" t="s">
        <v>9</v>
      </c>
      <c r="D173" s="2" t="s">
        <v>17</v>
      </c>
      <c r="E173" s="2" t="s">
        <v>15</v>
      </c>
      <c r="F173" s="2" t="s">
        <v>26</v>
      </c>
      <c r="G173">
        <v>1</v>
      </c>
      <c r="H173" s="2" t="s">
        <v>13</v>
      </c>
      <c r="I173" s="2" t="s">
        <v>87</v>
      </c>
      <c r="J173">
        <v>1</v>
      </c>
      <c r="K173">
        <v>1</v>
      </c>
      <c r="L173">
        <f>correct_ratio_df__3[[#This Row],[available]]-correct_ratio_df__3[[#This Row],[stable]]</f>
        <v>0</v>
      </c>
    </row>
    <row r="174" spans="1:12" x14ac:dyDescent="0.2">
      <c r="A174">
        <v>172</v>
      </c>
      <c r="B174" s="2" t="s">
        <v>53</v>
      </c>
      <c r="C174" s="2" t="s">
        <v>19</v>
      </c>
      <c r="D174" s="2" t="s">
        <v>17</v>
      </c>
      <c r="E174" s="2" t="s">
        <v>21</v>
      </c>
      <c r="F174" s="2" t="s">
        <v>26</v>
      </c>
      <c r="G174">
        <v>0.66666666666666663</v>
      </c>
      <c r="H174" s="2" t="s">
        <v>13</v>
      </c>
      <c r="I174" s="2" t="s">
        <v>87</v>
      </c>
      <c r="J174">
        <v>1</v>
      </c>
      <c r="K174">
        <v>0</v>
      </c>
      <c r="L174">
        <f>correct_ratio_df__3[[#This Row],[available]]-correct_ratio_df__3[[#This Row],[stable]]</f>
        <v>1</v>
      </c>
    </row>
    <row r="175" spans="1:12" x14ac:dyDescent="0.2">
      <c r="A175">
        <v>173</v>
      </c>
      <c r="B175" s="2" t="s">
        <v>54</v>
      </c>
      <c r="C175" s="2" t="s">
        <v>14</v>
      </c>
      <c r="D175" s="2" t="s">
        <v>17</v>
      </c>
      <c r="E175" s="2" t="s">
        <v>15</v>
      </c>
      <c r="F175" s="2" t="s">
        <v>26</v>
      </c>
      <c r="G175">
        <v>1</v>
      </c>
      <c r="H175" s="2" t="s">
        <v>13</v>
      </c>
      <c r="I175" s="2" t="s">
        <v>87</v>
      </c>
      <c r="J175">
        <v>1</v>
      </c>
      <c r="K175">
        <v>1</v>
      </c>
      <c r="L175">
        <f>correct_ratio_df__3[[#This Row],[available]]-correct_ratio_df__3[[#This Row],[stable]]</f>
        <v>0</v>
      </c>
    </row>
    <row r="176" spans="1:12" x14ac:dyDescent="0.2">
      <c r="A176">
        <v>174</v>
      </c>
      <c r="B176" s="2" t="s">
        <v>55</v>
      </c>
      <c r="C176" s="2" t="s">
        <v>9</v>
      </c>
      <c r="D176" s="2" t="s">
        <v>18</v>
      </c>
      <c r="E176" s="2" t="s">
        <v>21</v>
      </c>
      <c r="F176" s="2" t="s">
        <v>26</v>
      </c>
      <c r="G176">
        <v>1</v>
      </c>
      <c r="H176" s="2" t="s">
        <v>13</v>
      </c>
      <c r="I176" s="2" t="s">
        <v>87</v>
      </c>
      <c r="J176">
        <v>1</v>
      </c>
      <c r="K176">
        <v>1</v>
      </c>
      <c r="L176">
        <f>correct_ratio_df__3[[#This Row],[available]]-correct_ratio_df__3[[#This Row],[stable]]</f>
        <v>0</v>
      </c>
    </row>
    <row r="177" spans="1:12" x14ac:dyDescent="0.2">
      <c r="A177">
        <v>175</v>
      </c>
      <c r="B177" s="2" t="s">
        <v>56</v>
      </c>
      <c r="C177" s="2" t="s">
        <v>19</v>
      </c>
      <c r="D177" s="2" t="s">
        <v>17</v>
      </c>
      <c r="E177" s="2" t="s">
        <v>21</v>
      </c>
      <c r="F177" s="2" t="s">
        <v>26</v>
      </c>
      <c r="G177">
        <v>0</v>
      </c>
      <c r="H177" s="2" t="s">
        <v>13</v>
      </c>
      <c r="I177" s="2" t="s">
        <v>87</v>
      </c>
      <c r="J177">
        <v>0</v>
      </c>
      <c r="K177">
        <v>0</v>
      </c>
      <c r="L177">
        <f>correct_ratio_df__3[[#This Row],[available]]-correct_ratio_df__3[[#This Row],[stable]]</f>
        <v>0</v>
      </c>
    </row>
    <row r="178" spans="1:12" x14ac:dyDescent="0.2">
      <c r="A178">
        <v>176</v>
      </c>
      <c r="B178" s="2" t="s">
        <v>57</v>
      </c>
      <c r="C178" s="2" t="s">
        <v>9</v>
      </c>
      <c r="D178" s="2" t="s">
        <v>17</v>
      </c>
      <c r="E178" s="2" t="s">
        <v>21</v>
      </c>
      <c r="F178" s="2" t="s">
        <v>26</v>
      </c>
      <c r="G178">
        <v>1</v>
      </c>
      <c r="H178" s="2" t="s">
        <v>13</v>
      </c>
      <c r="I178" s="2" t="s">
        <v>87</v>
      </c>
      <c r="J178">
        <v>1</v>
      </c>
      <c r="K178">
        <v>1</v>
      </c>
      <c r="L178">
        <f>correct_ratio_df__3[[#This Row],[available]]-correct_ratio_df__3[[#This Row],[stable]]</f>
        <v>0</v>
      </c>
    </row>
    <row r="179" spans="1:12" x14ac:dyDescent="0.2">
      <c r="A179">
        <v>177</v>
      </c>
      <c r="B179" s="2" t="s">
        <v>58</v>
      </c>
      <c r="C179" s="2" t="s">
        <v>9</v>
      </c>
      <c r="D179" s="2" t="s">
        <v>17</v>
      </c>
      <c r="E179" s="2" t="s">
        <v>21</v>
      </c>
      <c r="F179" s="2" t="s">
        <v>26</v>
      </c>
      <c r="G179">
        <v>1</v>
      </c>
      <c r="H179" s="2" t="s">
        <v>13</v>
      </c>
      <c r="I179" s="2" t="s">
        <v>87</v>
      </c>
      <c r="J179">
        <v>1</v>
      </c>
      <c r="K179">
        <v>1</v>
      </c>
      <c r="L179">
        <f>correct_ratio_df__3[[#This Row],[available]]-correct_ratio_df__3[[#This Row],[stable]]</f>
        <v>0</v>
      </c>
    </row>
    <row r="180" spans="1:12" x14ac:dyDescent="0.2">
      <c r="A180">
        <v>178</v>
      </c>
      <c r="B180" s="2" t="s">
        <v>59</v>
      </c>
      <c r="C180" s="2" t="s">
        <v>19</v>
      </c>
      <c r="D180" s="2" t="s">
        <v>17</v>
      </c>
      <c r="E180" s="2" t="s">
        <v>15</v>
      </c>
      <c r="F180" s="2" t="s">
        <v>26</v>
      </c>
      <c r="G180">
        <v>1</v>
      </c>
      <c r="H180" s="2" t="s">
        <v>13</v>
      </c>
      <c r="I180" s="2" t="s">
        <v>87</v>
      </c>
      <c r="J180">
        <v>1</v>
      </c>
      <c r="K180">
        <v>1</v>
      </c>
      <c r="L180">
        <f>correct_ratio_df__3[[#This Row],[available]]-correct_ratio_df__3[[#This Row],[stable]]</f>
        <v>0</v>
      </c>
    </row>
    <row r="181" spans="1:12" x14ac:dyDescent="0.2">
      <c r="A181">
        <v>179</v>
      </c>
      <c r="B181" s="2" t="s">
        <v>60</v>
      </c>
      <c r="C181" s="2" t="s">
        <v>9</v>
      </c>
      <c r="D181" s="2" t="s">
        <v>17</v>
      </c>
      <c r="E181" s="2" t="s">
        <v>21</v>
      </c>
      <c r="F181" s="2" t="s">
        <v>26</v>
      </c>
      <c r="G181">
        <v>1</v>
      </c>
      <c r="H181" s="2" t="s">
        <v>13</v>
      </c>
      <c r="I181" s="2" t="s">
        <v>87</v>
      </c>
      <c r="J181">
        <v>1</v>
      </c>
      <c r="K181">
        <v>1</v>
      </c>
      <c r="L181">
        <f>correct_ratio_df__3[[#This Row],[available]]-correct_ratio_df__3[[#This Row],[stable]]</f>
        <v>0</v>
      </c>
    </row>
    <row r="182" spans="1:12" x14ac:dyDescent="0.2">
      <c r="A182">
        <v>180</v>
      </c>
      <c r="B182" s="2" t="s">
        <v>61</v>
      </c>
      <c r="C182" s="2" t="s">
        <v>14</v>
      </c>
      <c r="D182" s="2" t="s">
        <v>10</v>
      </c>
      <c r="E182" s="2" t="s">
        <v>11</v>
      </c>
      <c r="F182" s="2" t="s">
        <v>26</v>
      </c>
      <c r="G182">
        <v>1</v>
      </c>
      <c r="H182" s="2" t="s">
        <v>13</v>
      </c>
      <c r="I182" s="2" t="s">
        <v>87</v>
      </c>
      <c r="J182">
        <v>1</v>
      </c>
      <c r="K182">
        <v>1</v>
      </c>
      <c r="L182">
        <f>correct_ratio_df__3[[#This Row],[available]]-correct_ratio_df__3[[#This Row],[stable]]</f>
        <v>0</v>
      </c>
    </row>
    <row r="183" spans="1:12" x14ac:dyDescent="0.2">
      <c r="A183">
        <v>181</v>
      </c>
      <c r="B183" s="2" t="s">
        <v>62</v>
      </c>
      <c r="C183" s="2" t="s">
        <v>16</v>
      </c>
      <c r="D183" s="2" t="s">
        <v>18</v>
      </c>
      <c r="E183" s="2" t="s">
        <v>11</v>
      </c>
      <c r="F183" s="2" t="s">
        <v>26</v>
      </c>
      <c r="G183">
        <v>0.66666666666666663</v>
      </c>
      <c r="H183" s="2" t="s">
        <v>13</v>
      </c>
      <c r="I183" s="2" t="s">
        <v>87</v>
      </c>
      <c r="J183">
        <v>1</v>
      </c>
      <c r="K183">
        <v>0</v>
      </c>
      <c r="L183">
        <f>correct_ratio_df__3[[#This Row],[available]]-correct_ratio_df__3[[#This Row],[stable]]</f>
        <v>1</v>
      </c>
    </row>
    <row r="184" spans="1:12" x14ac:dyDescent="0.2">
      <c r="A184">
        <v>182</v>
      </c>
      <c r="B184" s="2" t="s">
        <v>63</v>
      </c>
      <c r="C184" s="2" t="s">
        <v>9</v>
      </c>
      <c r="D184" s="2" t="s">
        <v>20</v>
      </c>
      <c r="E184" s="2" t="s">
        <v>15</v>
      </c>
      <c r="F184" s="2" t="s">
        <v>26</v>
      </c>
      <c r="G184">
        <v>0.33333333333333331</v>
      </c>
      <c r="H184" s="2" t="s">
        <v>13</v>
      </c>
      <c r="I184" s="2" t="s">
        <v>87</v>
      </c>
      <c r="J184">
        <v>1</v>
      </c>
      <c r="K184">
        <v>0</v>
      </c>
      <c r="L184">
        <f>correct_ratio_df__3[[#This Row],[available]]-correct_ratio_df__3[[#This Row],[stable]]</f>
        <v>1</v>
      </c>
    </row>
    <row r="185" spans="1:12" x14ac:dyDescent="0.2">
      <c r="A185">
        <v>183</v>
      </c>
      <c r="B185" s="2" t="s">
        <v>64</v>
      </c>
      <c r="C185" s="2" t="s">
        <v>14</v>
      </c>
      <c r="D185" s="2" t="s">
        <v>17</v>
      </c>
      <c r="E185" s="2" t="s">
        <v>11</v>
      </c>
      <c r="F185" s="2" t="s">
        <v>26</v>
      </c>
      <c r="G185">
        <v>1</v>
      </c>
      <c r="H185" s="2" t="s">
        <v>13</v>
      </c>
      <c r="I185" s="2" t="s">
        <v>87</v>
      </c>
      <c r="J185">
        <v>1</v>
      </c>
      <c r="K185">
        <v>1</v>
      </c>
      <c r="L185">
        <f>correct_ratio_df__3[[#This Row],[available]]-correct_ratio_df__3[[#This Row],[stable]]</f>
        <v>0</v>
      </c>
    </row>
    <row r="186" spans="1:12" x14ac:dyDescent="0.2">
      <c r="A186">
        <v>184</v>
      </c>
      <c r="B186" s="2" t="s">
        <v>65</v>
      </c>
      <c r="C186" s="2" t="s">
        <v>19</v>
      </c>
      <c r="D186" s="2" t="s">
        <v>18</v>
      </c>
      <c r="E186" s="2" t="s">
        <v>21</v>
      </c>
      <c r="F186" s="2" t="s">
        <v>26</v>
      </c>
      <c r="G186">
        <v>1</v>
      </c>
      <c r="H186" s="2" t="s">
        <v>13</v>
      </c>
      <c r="I186" s="2" t="s">
        <v>87</v>
      </c>
      <c r="J186">
        <v>1</v>
      </c>
      <c r="K186">
        <v>1</v>
      </c>
      <c r="L186">
        <f>correct_ratio_df__3[[#This Row],[available]]-correct_ratio_df__3[[#This Row],[stable]]</f>
        <v>0</v>
      </c>
    </row>
    <row r="187" spans="1:12" x14ac:dyDescent="0.2">
      <c r="A187">
        <v>185</v>
      </c>
      <c r="B187" s="2" t="s">
        <v>66</v>
      </c>
      <c r="C187" s="2" t="s">
        <v>14</v>
      </c>
      <c r="D187" s="2" t="s">
        <v>18</v>
      </c>
      <c r="E187" s="2" t="s">
        <v>15</v>
      </c>
      <c r="F187" s="2" t="s">
        <v>26</v>
      </c>
      <c r="G187">
        <v>1</v>
      </c>
      <c r="H187" s="2" t="s">
        <v>13</v>
      </c>
      <c r="I187" s="2" t="s">
        <v>87</v>
      </c>
      <c r="J187">
        <v>1</v>
      </c>
      <c r="K187">
        <v>1</v>
      </c>
      <c r="L187">
        <f>correct_ratio_df__3[[#This Row],[available]]-correct_ratio_df__3[[#This Row],[stable]]</f>
        <v>0</v>
      </c>
    </row>
    <row r="188" spans="1:12" x14ac:dyDescent="0.2">
      <c r="A188">
        <v>186</v>
      </c>
      <c r="B188" s="2" t="s">
        <v>67</v>
      </c>
      <c r="C188" s="2" t="s">
        <v>9</v>
      </c>
      <c r="D188" s="2" t="s">
        <v>17</v>
      </c>
      <c r="E188" s="2" t="s">
        <v>21</v>
      </c>
      <c r="F188" s="2" t="s">
        <v>26</v>
      </c>
      <c r="G188">
        <v>1</v>
      </c>
      <c r="H188" s="2" t="s">
        <v>13</v>
      </c>
      <c r="I188" s="2" t="s">
        <v>87</v>
      </c>
      <c r="J188">
        <v>1</v>
      </c>
      <c r="K188">
        <v>1</v>
      </c>
      <c r="L188">
        <f>correct_ratio_df__3[[#This Row],[available]]-correct_ratio_df__3[[#This Row],[stable]]</f>
        <v>0</v>
      </c>
    </row>
    <row r="189" spans="1:12" x14ac:dyDescent="0.2">
      <c r="A189">
        <v>187</v>
      </c>
      <c r="B189" s="2" t="s">
        <v>68</v>
      </c>
      <c r="C189" s="2" t="s">
        <v>14</v>
      </c>
      <c r="D189" s="2" t="s">
        <v>17</v>
      </c>
      <c r="E189" s="2" t="s">
        <v>15</v>
      </c>
      <c r="F189" s="2" t="s">
        <v>26</v>
      </c>
      <c r="G189">
        <v>1</v>
      </c>
      <c r="H189" s="2" t="s">
        <v>13</v>
      </c>
      <c r="I189" s="2" t="s">
        <v>87</v>
      </c>
      <c r="J189">
        <v>1</v>
      </c>
      <c r="K189">
        <v>1</v>
      </c>
      <c r="L189">
        <f>correct_ratio_df__3[[#This Row],[available]]-correct_ratio_df__3[[#This Row],[stable]]</f>
        <v>0</v>
      </c>
    </row>
    <row r="190" spans="1:12" x14ac:dyDescent="0.2">
      <c r="A190">
        <v>188</v>
      </c>
      <c r="B190" s="2" t="s">
        <v>69</v>
      </c>
      <c r="C190" s="2" t="s">
        <v>22</v>
      </c>
      <c r="D190" s="2" t="s">
        <v>17</v>
      </c>
      <c r="E190" s="2" t="s">
        <v>11</v>
      </c>
      <c r="F190" s="2" t="s">
        <v>26</v>
      </c>
      <c r="G190">
        <v>1</v>
      </c>
      <c r="H190" s="2" t="s">
        <v>13</v>
      </c>
      <c r="I190" s="2" t="s">
        <v>87</v>
      </c>
      <c r="J190">
        <v>1</v>
      </c>
      <c r="K190">
        <v>1</v>
      </c>
      <c r="L190">
        <f>correct_ratio_df__3[[#This Row],[available]]-correct_ratio_df__3[[#This Row],[stable]]</f>
        <v>0</v>
      </c>
    </row>
    <row r="191" spans="1:12" x14ac:dyDescent="0.2">
      <c r="A191">
        <v>189</v>
      </c>
      <c r="B191" s="2" t="s">
        <v>70</v>
      </c>
      <c r="C191" s="2" t="s">
        <v>9</v>
      </c>
      <c r="D191" s="2" t="s">
        <v>17</v>
      </c>
      <c r="E191" s="2" t="s">
        <v>15</v>
      </c>
      <c r="F191" s="2" t="s">
        <v>26</v>
      </c>
      <c r="G191">
        <v>1</v>
      </c>
      <c r="H191" s="2" t="s">
        <v>13</v>
      </c>
      <c r="I191" s="2" t="s">
        <v>87</v>
      </c>
      <c r="J191">
        <v>1</v>
      </c>
      <c r="K191">
        <v>1</v>
      </c>
      <c r="L191">
        <f>correct_ratio_df__3[[#This Row],[available]]-correct_ratio_df__3[[#This Row],[stable]]</f>
        <v>0</v>
      </c>
    </row>
    <row r="192" spans="1:12" x14ac:dyDescent="0.2">
      <c r="A192">
        <v>190</v>
      </c>
      <c r="B192" s="2" t="s">
        <v>71</v>
      </c>
      <c r="C192" s="2" t="s">
        <v>9</v>
      </c>
      <c r="D192" s="2" t="s">
        <v>17</v>
      </c>
      <c r="E192" s="2" t="s">
        <v>21</v>
      </c>
      <c r="F192" s="2" t="s">
        <v>26</v>
      </c>
      <c r="G192">
        <v>0.66666666666666663</v>
      </c>
      <c r="H192" s="2" t="s">
        <v>13</v>
      </c>
      <c r="I192" s="2" t="s">
        <v>87</v>
      </c>
      <c r="J192">
        <v>1</v>
      </c>
      <c r="K192">
        <v>0</v>
      </c>
      <c r="L192">
        <f>correct_ratio_df__3[[#This Row],[available]]-correct_ratio_df__3[[#This Row],[stable]]</f>
        <v>1</v>
      </c>
    </row>
    <row r="193" spans="1:12" x14ac:dyDescent="0.2">
      <c r="A193">
        <v>191</v>
      </c>
      <c r="B193" s="2" t="s">
        <v>72</v>
      </c>
      <c r="C193" s="2" t="s">
        <v>19</v>
      </c>
      <c r="D193" s="2" t="s">
        <v>17</v>
      </c>
      <c r="E193" s="2" t="s">
        <v>11</v>
      </c>
      <c r="F193" s="2" t="s">
        <v>26</v>
      </c>
      <c r="G193">
        <v>1</v>
      </c>
      <c r="H193" s="2" t="s">
        <v>13</v>
      </c>
      <c r="I193" s="2" t="s">
        <v>87</v>
      </c>
      <c r="J193">
        <v>1</v>
      </c>
      <c r="K193">
        <v>1</v>
      </c>
      <c r="L193">
        <f>correct_ratio_df__3[[#This Row],[available]]-correct_ratio_df__3[[#This Row],[stable]]</f>
        <v>0</v>
      </c>
    </row>
    <row r="194" spans="1:12" x14ac:dyDescent="0.2">
      <c r="A194">
        <v>192</v>
      </c>
      <c r="B194" s="2" t="s">
        <v>73</v>
      </c>
      <c r="C194" s="2" t="s">
        <v>16</v>
      </c>
      <c r="D194" s="2" t="s">
        <v>17</v>
      </c>
      <c r="E194" s="2" t="s">
        <v>11</v>
      </c>
      <c r="F194" s="2" t="s">
        <v>26</v>
      </c>
      <c r="G194">
        <v>1</v>
      </c>
      <c r="H194" s="2" t="s">
        <v>13</v>
      </c>
      <c r="I194" s="2" t="s">
        <v>87</v>
      </c>
      <c r="J194">
        <v>1</v>
      </c>
      <c r="K194">
        <v>1</v>
      </c>
      <c r="L194">
        <f>correct_ratio_df__3[[#This Row],[available]]-correct_ratio_df__3[[#This Row],[stable]]</f>
        <v>0</v>
      </c>
    </row>
    <row r="195" spans="1:12" x14ac:dyDescent="0.2">
      <c r="A195">
        <v>193</v>
      </c>
      <c r="B195" s="2" t="s">
        <v>74</v>
      </c>
      <c r="C195" s="2" t="s">
        <v>22</v>
      </c>
      <c r="D195" s="2" t="s">
        <v>17</v>
      </c>
      <c r="E195" s="2" t="s">
        <v>21</v>
      </c>
      <c r="F195" s="2" t="s">
        <v>26</v>
      </c>
      <c r="G195">
        <v>1</v>
      </c>
      <c r="H195" s="2" t="s">
        <v>13</v>
      </c>
      <c r="I195" s="2" t="s">
        <v>87</v>
      </c>
      <c r="J195">
        <v>1</v>
      </c>
      <c r="K195">
        <v>1</v>
      </c>
      <c r="L195">
        <f>correct_ratio_df__3[[#This Row],[available]]-correct_ratio_df__3[[#This Row],[stable]]</f>
        <v>0</v>
      </c>
    </row>
    <row r="196" spans="1:12" x14ac:dyDescent="0.2">
      <c r="A196">
        <v>194</v>
      </c>
      <c r="B196" s="2" t="s">
        <v>75</v>
      </c>
      <c r="C196" s="2" t="s">
        <v>14</v>
      </c>
      <c r="D196" s="2" t="s">
        <v>17</v>
      </c>
      <c r="E196" s="2" t="s">
        <v>21</v>
      </c>
      <c r="F196" s="2" t="s">
        <v>26</v>
      </c>
      <c r="G196">
        <v>1</v>
      </c>
      <c r="H196" s="2" t="s">
        <v>13</v>
      </c>
      <c r="I196" s="2" t="s">
        <v>87</v>
      </c>
      <c r="J196">
        <v>1</v>
      </c>
      <c r="K196">
        <v>1</v>
      </c>
      <c r="L196">
        <f>correct_ratio_df__3[[#This Row],[available]]-correct_ratio_df__3[[#This Row],[stable]]</f>
        <v>0</v>
      </c>
    </row>
    <row r="197" spans="1:12" x14ac:dyDescent="0.2">
      <c r="A197">
        <v>195</v>
      </c>
      <c r="B197" s="2" t="s">
        <v>76</v>
      </c>
      <c r="C197" s="2" t="s">
        <v>14</v>
      </c>
      <c r="D197" s="2" t="s">
        <v>10</v>
      </c>
      <c r="E197" s="2" t="s">
        <v>21</v>
      </c>
      <c r="F197" s="2" t="s">
        <v>26</v>
      </c>
      <c r="G197">
        <v>1</v>
      </c>
      <c r="H197" s="2" t="s">
        <v>13</v>
      </c>
      <c r="I197" s="2" t="s">
        <v>87</v>
      </c>
      <c r="J197">
        <v>1</v>
      </c>
      <c r="K197">
        <v>1</v>
      </c>
      <c r="L197">
        <f>correct_ratio_df__3[[#This Row],[available]]-correct_ratio_df__3[[#This Row],[stable]]</f>
        <v>0</v>
      </c>
    </row>
    <row r="198" spans="1:12" x14ac:dyDescent="0.2">
      <c r="A198">
        <v>196</v>
      </c>
      <c r="B198" s="2" t="s">
        <v>77</v>
      </c>
      <c r="C198" s="2" t="s">
        <v>9</v>
      </c>
      <c r="D198" s="2" t="s">
        <v>17</v>
      </c>
      <c r="E198" s="2" t="s">
        <v>15</v>
      </c>
      <c r="F198" s="2" t="s">
        <v>26</v>
      </c>
      <c r="G198">
        <v>0.33333333333333331</v>
      </c>
      <c r="H198" s="2" t="s">
        <v>13</v>
      </c>
      <c r="I198" s="2" t="s">
        <v>87</v>
      </c>
      <c r="J198">
        <v>1</v>
      </c>
      <c r="K198">
        <v>0</v>
      </c>
      <c r="L198">
        <f>correct_ratio_df__3[[#This Row],[available]]-correct_ratio_df__3[[#This Row],[stable]]</f>
        <v>1</v>
      </c>
    </row>
    <row r="199" spans="1:12" x14ac:dyDescent="0.2">
      <c r="A199">
        <v>197</v>
      </c>
      <c r="B199" s="2" t="s">
        <v>78</v>
      </c>
      <c r="C199" s="2" t="s">
        <v>9</v>
      </c>
      <c r="D199" s="2" t="s">
        <v>17</v>
      </c>
      <c r="E199" s="2" t="s">
        <v>21</v>
      </c>
      <c r="F199" s="2" t="s">
        <v>26</v>
      </c>
      <c r="G199">
        <v>1</v>
      </c>
      <c r="H199" s="2" t="s">
        <v>13</v>
      </c>
      <c r="I199" s="2" t="s">
        <v>87</v>
      </c>
      <c r="J199">
        <v>1</v>
      </c>
      <c r="K199">
        <v>1</v>
      </c>
      <c r="L199">
        <f>correct_ratio_df__3[[#This Row],[available]]-correct_ratio_df__3[[#This Row],[stable]]</f>
        <v>0</v>
      </c>
    </row>
    <row r="200" spans="1:12" x14ac:dyDescent="0.2">
      <c r="A200">
        <v>198</v>
      </c>
      <c r="B200" s="2" t="s">
        <v>79</v>
      </c>
      <c r="C200" s="2" t="s">
        <v>14</v>
      </c>
      <c r="D200" s="2" t="s">
        <v>17</v>
      </c>
      <c r="E200" s="2" t="s">
        <v>11</v>
      </c>
      <c r="F200" s="2" t="s">
        <v>26</v>
      </c>
      <c r="G200">
        <v>1</v>
      </c>
      <c r="H200" s="2" t="s">
        <v>13</v>
      </c>
      <c r="I200" s="2" t="s">
        <v>87</v>
      </c>
      <c r="J200">
        <v>1</v>
      </c>
      <c r="K200">
        <v>1</v>
      </c>
      <c r="L200">
        <f>correct_ratio_df__3[[#This Row],[available]]-correct_ratio_df__3[[#This Row],[stable]]</f>
        <v>0</v>
      </c>
    </row>
    <row r="201" spans="1:12" x14ac:dyDescent="0.2">
      <c r="A201">
        <v>199</v>
      </c>
      <c r="B201" s="2" t="s">
        <v>80</v>
      </c>
      <c r="C201" s="2" t="s">
        <v>22</v>
      </c>
      <c r="D201" s="2" t="s">
        <v>20</v>
      </c>
      <c r="E201" s="2" t="s">
        <v>11</v>
      </c>
      <c r="F201" s="2" t="s">
        <v>26</v>
      </c>
      <c r="G201">
        <v>0</v>
      </c>
      <c r="H201" s="2" t="s">
        <v>13</v>
      </c>
      <c r="I201" s="2" t="s">
        <v>87</v>
      </c>
      <c r="J201">
        <v>0</v>
      </c>
      <c r="K201">
        <v>0</v>
      </c>
      <c r="L201">
        <f>correct_ratio_df__3[[#This Row],[available]]-correct_ratio_df__3[[#This Row],[stable]]</f>
        <v>0</v>
      </c>
    </row>
    <row r="202" spans="1:12" x14ac:dyDescent="0.2">
      <c r="A202">
        <v>200</v>
      </c>
      <c r="B202" s="2" t="s">
        <v>41</v>
      </c>
      <c r="C202" s="2" t="s">
        <v>9</v>
      </c>
      <c r="D202" s="2" t="s">
        <v>10</v>
      </c>
      <c r="E202" s="2" t="s">
        <v>11</v>
      </c>
      <c r="F202" s="2" t="s">
        <v>27</v>
      </c>
      <c r="G202">
        <v>1</v>
      </c>
      <c r="H202" s="2" t="s">
        <v>24</v>
      </c>
      <c r="I202" s="2" t="s">
        <v>85</v>
      </c>
      <c r="J202">
        <v>1</v>
      </c>
      <c r="K202">
        <v>1</v>
      </c>
      <c r="L202">
        <f>correct_ratio_df__3[[#This Row],[available]]-correct_ratio_df__3[[#This Row],[stable]]</f>
        <v>0</v>
      </c>
    </row>
    <row r="203" spans="1:12" x14ac:dyDescent="0.2">
      <c r="A203">
        <v>201</v>
      </c>
      <c r="B203" s="2" t="s">
        <v>42</v>
      </c>
      <c r="C203" s="2" t="s">
        <v>14</v>
      </c>
      <c r="D203" s="2" t="s">
        <v>10</v>
      </c>
      <c r="E203" s="2" t="s">
        <v>15</v>
      </c>
      <c r="F203" s="2" t="s">
        <v>27</v>
      </c>
      <c r="G203">
        <v>1</v>
      </c>
      <c r="H203" s="2" t="s">
        <v>24</v>
      </c>
      <c r="I203" s="2" t="s">
        <v>85</v>
      </c>
      <c r="J203">
        <v>1</v>
      </c>
      <c r="K203">
        <v>1</v>
      </c>
      <c r="L203">
        <f>correct_ratio_df__3[[#This Row],[available]]-correct_ratio_df__3[[#This Row],[stable]]</f>
        <v>0</v>
      </c>
    </row>
    <row r="204" spans="1:12" x14ac:dyDescent="0.2">
      <c r="A204">
        <v>202</v>
      </c>
      <c r="B204" s="2" t="s">
        <v>43</v>
      </c>
      <c r="C204" s="2" t="s">
        <v>16</v>
      </c>
      <c r="D204" s="2" t="s">
        <v>17</v>
      </c>
      <c r="E204" s="2" t="s">
        <v>11</v>
      </c>
      <c r="F204" s="2" t="s">
        <v>27</v>
      </c>
      <c r="G204">
        <v>1</v>
      </c>
      <c r="H204" s="2" t="s">
        <v>24</v>
      </c>
      <c r="I204" s="2" t="s">
        <v>85</v>
      </c>
      <c r="J204">
        <v>1</v>
      </c>
      <c r="K204">
        <v>1</v>
      </c>
      <c r="L204">
        <f>correct_ratio_df__3[[#This Row],[available]]-correct_ratio_df__3[[#This Row],[stable]]</f>
        <v>0</v>
      </c>
    </row>
    <row r="205" spans="1:12" x14ac:dyDescent="0.2">
      <c r="A205">
        <v>203</v>
      </c>
      <c r="B205" s="2" t="s">
        <v>44</v>
      </c>
      <c r="C205" s="2" t="s">
        <v>16</v>
      </c>
      <c r="D205" s="2" t="s">
        <v>10</v>
      </c>
      <c r="E205" s="2" t="s">
        <v>15</v>
      </c>
      <c r="F205" s="2" t="s">
        <v>27</v>
      </c>
      <c r="G205">
        <v>1</v>
      </c>
      <c r="H205" s="2" t="s">
        <v>24</v>
      </c>
      <c r="I205" s="2" t="s">
        <v>85</v>
      </c>
      <c r="J205">
        <v>1</v>
      </c>
      <c r="K205">
        <v>1</v>
      </c>
      <c r="L205">
        <f>correct_ratio_df__3[[#This Row],[available]]-correct_ratio_df__3[[#This Row],[stable]]</f>
        <v>0</v>
      </c>
    </row>
    <row r="206" spans="1:12" x14ac:dyDescent="0.2">
      <c r="A206">
        <v>204</v>
      </c>
      <c r="B206" s="2" t="s">
        <v>45</v>
      </c>
      <c r="C206" s="2" t="s">
        <v>14</v>
      </c>
      <c r="D206" s="2" t="s">
        <v>18</v>
      </c>
      <c r="E206" s="2" t="s">
        <v>15</v>
      </c>
      <c r="F206" s="2" t="s">
        <v>27</v>
      </c>
      <c r="G206">
        <v>0.66666666666666663</v>
      </c>
      <c r="H206" s="2" t="s">
        <v>24</v>
      </c>
      <c r="I206" s="2" t="s">
        <v>85</v>
      </c>
      <c r="J206">
        <v>1</v>
      </c>
      <c r="K206">
        <v>0</v>
      </c>
      <c r="L206">
        <f>correct_ratio_df__3[[#This Row],[available]]-correct_ratio_df__3[[#This Row],[stable]]</f>
        <v>1</v>
      </c>
    </row>
    <row r="207" spans="1:12" x14ac:dyDescent="0.2">
      <c r="A207">
        <v>205</v>
      </c>
      <c r="B207" s="2" t="s">
        <v>46</v>
      </c>
      <c r="C207" s="2" t="s">
        <v>14</v>
      </c>
      <c r="D207" s="2" t="s">
        <v>10</v>
      </c>
      <c r="E207" s="2" t="s">
        <v>15</v>
      </c>
      <c r="F207" s="2" t="s">
        <v>27</v>
      </c>
      <c r="G207">
        <v>1</v>
      </c>
      <c r="H207" s="2" t="s">
        <v>24</v>
      </c>
      <c r="I207" s="2" t="s">
        <v>85</v>
      </c>
      <c r="J207">
        <v>1</v>
      </c>
      <c r="K207">
        <v>1</v>
      </c>
      <c r="L207">
        <f>correct_ratio_df__3[[#This Row],[available]]-correct_ratio_df__3[[#This Row],[stable]]</f>
        <v>0</v>
      </c>
    </row>
    <row r="208" spans="1:12" x14ac:dyDescent="0.2">
      <c r="A208">
        <v>206</v>
      </c>
      <c r="B208" s="2" t="s">
        <v>47</v>
      </c>
      <c r="C208" s="2" t="s">
        <v>19</v>
      </c>
      <c r="D208" s="2" t="s">
        <v>10</v>
      </c>
      <c r="E208" s="2" t="s">
        <v>15</v>
      </c>
      <c r="F208" s="2" t="s">
        <v>27</v>
      </c>
      <c r="G208">
        <v>0.66666666666666663</v>
      </c>
      <c r="H208" s="2" t="s">
        <v>24</v>
      </c>
      <c r="I208" s="2" t="s">
        <v>85</v>
      </c>
      <c r="J208">
        <v>1</v>
      </c>
      <c r="K208">
        <v>0</v>
      </c>
      <c r="L208">
        <f>correct_ratio_df__3[[#This Row],[available]]-correct_ratio_df__3[[#This Row],[stable]]</f>
        <v>1</v>
      </c>
    </row>
    <row r="209" spans="1:12" x14ac:dyDescent="0.2">
      <c r="A209">
        <v>207</v>
      </c>
      <c r="B209" s="2" t="s">
        <v>48</v>
      </c>
      <c r="C209" s="2" t="s">
        <v>16</v>
      </c>
      <c r="D209" s="2" t="s">
        <v>20</v>
      </c>
      <c r="E209" s="2" t="s">
        <v>21</v>
      </c>
      <c r="F209" s="2" t="s">
        <v>27</v>
      </c>
      <c r="G209">
        <v>1</v>
      </c>
      <c r="H209" s="2" t="s">
        <v>24</v>
      </c>
      <c r="I209" s="2" t="s">
        <v>85</v>
      </c>
      <c r="J209">
        <v>1</v>
      </c>
      <c r="K209">
        <v>1</v>
      </c>
      <c r="L209">
        <f>correct_ratio_df__3[[#This Row],[available]]-correct_ratio_df__3[[#This Row],[stable]]</f>
        <v>0</v>
      </c>
    </row>
    <row r="210" spans="1:12" x14ac:dyDescent="0.2">
      <c r="A210">
        <v>208</v>
      </c>
      <c r="B210" s="2" t="s">
        <v>49</v>
      </c>
      <c r="C210" s="2" t="s">
        <v>16</v>
      </c>
      <c r="D210" s="2" t="s">
        <v>10</v>
      </c>
      <c r="E210" s="2" t="s">
        <v>21</v>
      </c>
      <c r="F210" s="2" t="s">
        <v>27</v>
      </c>
      <c r="G210">
        <v>1</v>
      </c>
      <c r="H210" s="2" t="s">
        <v>24</v>
      </c>
      <c r="I210" s="2" t="s">
        <v>85</v>
      </c>
      <c r="J210">
        <v>1</v>
      </c>
      <c r="K210">
        <v>1</v>
      </c>
      <c r="L210">
        <f>correct_ratio_df__3[[#This Row],[available]]-correct_ratio_df__3[[#This Row],[stable]]</f>
        <v>0</v>
      </c>
    </row>
    <row r="211" spans="1:12" x14ac:dyDescent="0.2">
      <c r="A211">
        <v>209</v>
      </c>
      <c r="B211" s="2" t="s">
        <v>50</v>
      </c>
      <c r="C211" s="2" t="s">
        <v>9</v>
      </c>
      <c r="D211" s="2" t="s">
        <v>17</v>
      </c>
      <c r="E211" s="2" t="s">
        <v>21</v>
      </c>
      <c r="F211" s="2" t="s">
        <v>27</v>
      </c>
      <c r="G211">
        <v>0</v>
      </c>
      <c r="H211" s="2" t="s">
        <v>24</v>
      </c>
      <c r="I211" s="2" t="s">
        <v>85</v>
      </c>
      <c r="J211">
        <v>0</v>
      </c>
      <c r="K211">
        <v>0</v>
      </c>
      <c r="L211">
        <f>correct_ratio_df__3[[#This Row],[available]]-correct_ratio_df__3[[#This Row],[stable]]</f>
        <v>0</v>
      </c>
    </row>
    <row r="212" spans="1:12" x14ac:dyDescent="0.2">
      <c r="A212">
        <v>210</v>
      </c>
      <c r="B212" s="2" t="s">
        <v>51</v>
      </c>
      <c r="C212" s="2" t="s">
        <v>16</v>
      </c>
      <c r="D212" s="2" t="s">
        <v>17</v>
      </c>
      <c r="E212" s="2" t="s">
        <v>11</v>
      </c>
      <c r="F212" s="2" t="s">
        <v>27</v>
      </c>
      <c r="G212">
        <v>0.66666666666666663</v>
      </c>
      <c r="H212" s="2" t="s">
        <v>24</v>
      </c>
      <c r="I212" s="2" t="s">
        <v>85</v>
      </c>
      <c r="J212">
        <v>1</v>
      </c>
      <c r="K212">
        <v>0</v>
      </c>
      <c r="L212">
        <f>correct_ratio_df__3[[#This Row],[available]]-correct_ratio_df__3[[#This Row],[stable]]</f>
        <v>1</v>
      </c>
    </row>
    <row r="213" spans="1:12" x14ac:dyDescent="0.2">
      <c r="A213">
        <v>211</v>
      </c>
      <c r="B213" s="2" t="s">
        <v>52</v>
      </c>
      <c r="C213" s="2" t="s">
        <v>9</v>
      </c>
      <c r="D213" s="2" t="s">
        <v>17</v>
      </c>
      <c r="E213" s="2" t="s">
        <v>15</v>
      </c>
      <c r="F213" s="2" t="s">
        <v>27</v>
      </c>
      <c r="G213">
        <v>1</v>
      </c>
      <c r="H213" s="2" t="s">
        <v>24</v>
      </c>
      <c r="I213" s="2" t="s">
        <v>85</v>
      </c>
      <c r="J213">
        <v>1</v>
      </c>
      <c r="K213">
        <v>1</v>
      </c>
      <c r="L213">
        <f>correct_ratio_df__3[[#This Row],[available]]-correct_ratio_df__3[[#This Row],[stable]]</f>
        <v>0</v>
      </c>
    </row>
    <row r="214" spans="1:12" x14ac:dyDescent="0.2">
      <c r="A214">
        <v>212</v>
      </c>
      <c r="B214" s="2" t="s">
        <v>53</v>
      </c>
      <c r="C214" s="2" t="s">
        <v>19</v>
      </c>
      <c r="D214" s="2" t="s">
        <v>17</v>
      </c>
      <c r="E214" s="2" t="s">
        <v>21</v>
      </c>
      <c r="F214" s="2" t="s">
        <v>27</v>
      </c>
      <c r="G214">
        <v>0.66666666666666663</v>
      </c>
      <c r="H214" s="2" t="s">
        <v>24</v>
      </c>
      <c r="I214" s="2" t="s">
        <v>85</v>
      </c>
      <c r="J214">
        <v>1</v>
      </c>
      <c r="K214">
        <v>0</v>
      </c>
      <c r="L214">
        <f>correct_ratio_df__3[[#This Row],[available]]-correct_ratio_df__3[[#This Row],[stable]]</f>
        <v>1</v>
      </c>
    </row>
    <row r="215" spans="1:12" x14ac:dyDescent="0.2">
      <c r="A215">
        <v>213</v>
      </c>
      <c r="B215" s="2" t="s">
        <v>54</v>
      </c>
      <c r="C215" s="2" t="s">
        <v>14</v>
      </c>
      <c r="D215" s="2" t="s">
        <v>17</v>
      </c>
      <c r="E215" s="2" t="s">
        <v>15</v>
      </c>
      <c r="F215" s="2" t="s">
        <v>27</v>
      </c>
      <c r="G215">
        <v>0.33333333333333331</v>
      </c>
      <c r="H215" s="2" t="s">
        <v>24</v>
      </c>
      <c r="I215" s="2" t="s">
        <v>85</v>
      </c>
      <c r="J215">
        <v>1</v>
      </c>
      <c r="K215">
        <v>0</v>
      </c>
      <c r="L215">
        <f>correct_ratio_df__3[[#This Row],[available]]-correct_ratio_df__3[[#This Row],[stable]]</f>
        <v>1</v>
      </c>
    </row>
    <row r="216" spans="1:12" x14ac:dyDescent="0.2">
      <c r="A216">
        <v>214</v>
      </c>
      <c r="B216" s="2" t="s">
        <v>55</v>
      </c>
      <c r="C216" s="2" t="s">
        <v>9</v>
      </c>
      <c r="D216" s="2" t="s">
        <v>18</v>
      </c>
      <c r="E216" s="2" t="s">
        <v>21</v>
      </c>
      <c r="F216" s="2" t="s">
        <v>27</v>
      </c>
      <c r="G216">
        <v>0</v>
      </c>
      <c r="H216" s="2" t="s">
        <v>24</v>
      </c>
      <c r="I216" s="2" t="s">
        <v>85</v>
      </c>
      <c r="J216">
        <v>0</v>
      </c>
      <c r="K216">
        <v>0</v>
      </c>
      <c r="L216">
        <f>correct_ratio_df__3[[#This Row],[available]]-correct_ratio_df__3[[#This Row],[stable]]</f>
        <v>0</v>
      </c>
    </row>
    <row r="217" spans="1:12" x14ac:dyDescent="0.2">
      <c r="A217">
        <v>215</v>
      </c>
      <c r="B217" s="2" t="s">
        <v>56</v>
      </c>
      <c r="C217" s="2" t="s">
        <v>19</v>
      </c>
      <c r="D217" s="2" t="s">
        <v>17</v>
      </c>
      <c r="E217" s="2" t="s">
        <v>21</v>
      </c>
      <c r="F217" s="2" t="s">
        <v>27</v>
      </c>
      <c r="G217">
        <v>1</v>
      </c>
      <c r="H217" s="2" t="s">
        <v>24</v>
      </c>
      <c r="I217" s="2" t="s">
        <v>85</v>
      </c>
      <c r="J217">
        <v>1</v>
      </c>
      <c r="K217">
        <v>1</v>
      </c>
      <c r="L217">
        <f>correct_ratio_df__3[[#This Row],[available]]-correct_ratio_df__3[[#This Row],[stable]]</f>
        <v>0</v>
      </c>
    </row>
    <row r="218" spans="1:12" x14ac:dyDescent="0.2">
      <c r="A218">
        <v>216</v>
      </c>
      <c r="B218" s="2" t="s">
        <v>57</v>
      </c>
      <c r="C218" s="2" t="s">
        <v>9</v>
      </c>
      <c r="D218" s="2" t="s">
        <v>17</v>
      </c>
      <c r="E218" s="2" t="s">
        <v>21</v>
      </c>
      <c r="F218" s="2" t="s">
        <v>27</v>
      </c>
      <c r="G218">
        <v>0.66666666666666663</v>
      </c>
      <c r="H218" s="2" t="s">
        <v>24</v>
      </c>
      <c r="I218" s="2" t="s">
        <v>85</v>
      </c>
      <c r="J218">
        <v>1</v>
      </c>
      <c r="K218">
        <v>0</v>
      </c>
      <c r="L218">
        <f>correct_ratio_df__3[[#This Row],[available]]-correct_ratio_df__3[[#This Row],[stable]]</f>
        <v>1</v>
      </c>
    </row>
    <row r="219" spans="1:12" x14ac:dyDescent="0.2">
      <c r="A219">
        <v>217</v>
      </c>
      <c r="B219" s="2" t="s">
        <v>58</v>
      </c>
      <c r="C219" s="2" t="s">
        <v>9</v>
      </c>
      <c r="D219" s="2" t="s">
        <v>17</v>
      </c>
      <c r="E219" s="2" t="s">
        <v>21</v>
      </c>
      <c r="F219" s="2" t="s">
        <v>27</v>
      </c>
      <c r="G219">
        <v>0.33333333333333331</v>
      </c>
      <c r="H219" s="2" t="s">
        <v>24</v>
      </c>
      <c r="I219" s="2" t="s">
        <v>85</v>
      </c>
      <c r="J219">
        <v>1</v>
      </c>
      <c r="K219">
        <v>0</v>
      </c>
      <c r="L219">
        <f>correct_ratio_df__3[[#This Row],[available]]-correct_ratio_df__3[[#This Row],[stable]]</f>
        <v>1</v>
      </c>
    </row>
    <row r="220" spans="1:12" x14ac:dyDescent="0.2">
      <c r="A220">
        <v>218</v>
      </c>
      <c r="B220" s="2" t="s">
        <v>59</v>
      </c>
      <c r="C220" s="2" t="s">
        <v>19</v>
      </c>
      <c r="D220" s="2" t="s">
        <v>17</v>
      </c>
      <c r="E220" s="2" t="s">
        <v>15</v>
      </c>
      <c r="F220" s="2" t="s">
        <v>27</v>
      </c>
      <c r="G220">
        <v>1</v>
      </c>
      <c r="H220" s="2" t="s">
        <v>24</v>
      </c>
      <c r="I220" s="2" t="s">
        <v>85</v>
      </c>
      <c r="J220">
        <v>1</v>
      </c>
      <c r="K220">
        <v>1</v>
      </c>
      <c r="L220">
        <f>correct_ratio_df__3[[#This Row],[available]]-correct_ratio_df__3[[#This Row],[stable]]</f>
        <v>0</v>
      </c>
    </row>
    <row r="221" spans="1:12" x14ac:dyDescent="0.2">
      <c r="A221">
        <v>219</v>
      </c>
      <c r="B221" s="2" t="s">
        <v>60</v>
      </c>
      <c r="C221" s="2" t="s">
        <v>9</v>
      </c>
      <c r="D221" s="2" t="s">
        <v>17</v>
      </c>
      <c r="E221" s="2" t="s">
        <v>21</v>
      </c>
      <c r="F221" s="2" t="s">
        <v>27</v>
      </c>
      <c r="G221">
        <v>0</v>
      </c>
      <c r="H221" s="2" t="s">
        <v>24</v>
      </c>
      <c r="I221" s="2" t="s">
        <v>85</v>
      </c>
      <c r="J221">
        <v>0</v>
      </c>
      <c r="K221">
        <v>0</v>
      </c>
      <c r="L221">
        <f>correct_ratio_df__3[[#This Row],[available]]-correct_ratio_df__3[[#This Row],[stable]]</f>
        <v>0</v>
      </c>
    </row>
    <row r="222" spans="1:12" x14ac:dyDescent="0.2">
      <c r="A222">
        <v>220</v>
      </c>
      <c r="B222" s="2" t="s">
        <v>61</v>
      </c>
      <c r="C222" s="2" t="s">
        <v>14</v>
      </c>
      <c r="D222" s="2" t="s">
        <v>10</v>
      </c>
      <c r="E222" s="2" t="s">
        <v>11</v>
      </c>
      <c r="F222" s="2" t="s">
        <v>27</v>
      </c>
      <c r="G222">
        <v>1</v>
      </c>
      <c r="H222" s="2" t="s">
        <v>24</v>
      </c>
      <c r="I222" s="2" t="s">
        <v>85</v>
      </c>
      <c r="J222">
        <v>1</v>
      </c>
      <c r="K222">
        <v>1</v>
      </c>
      <c r="L222">
        <f>correct_ratio_df__3[[#This Row],[available]]-correct_ratio_df__3[[#This Row],[stable]]</f>
        <v>0</v>
      </c>
    </row>
    <row r="223" spans="1:12" x14ac:dyDescent="0.2">
      <c r="A223">
        <v>221</v>
      </c>
      <c r="B223" s="2" t="s">
        <v>62</v>
      </c>
      <c r="C223" s="2" t="s">
        <v>16</v>
      </c>
      <c r="D223" s="2" t="s">
        <v>18</v>
      </c>
      <c r="E223" s="2" t="s">
        <v>11</v>
      </c>
      <c r="F223" s="2" t="s">
        <v>27</v>
      </c>
      <c r="G223">
        <v>1</v>
      </c>
      <c r="H223" s="2" t="s">
        <v>24</v>
      </c>
      <c r="I223" s="2" t="s">
        <v>85</v>
      </c>
      <c r="J223">
        <v>1</v>
      </c>
      <c r="K223">
        <v>1</v>
      </c>
      <c r="L223">
        <f>correct_ratio_df__3[[#This Row],[available]]-correct_ratio_df__3[[#This Row],[stable]]</f>
        <v>0</v>
      </c>
    </row>
    <row r="224" spans="1:12" x14ac:dyDescent="0.2">
      <c r="A224">
        <v>222</v>
      </c>
      <c r="B224" s="2" t="s">
        <v>63</v>
      </c>
      <c r="C224" s="2" t="s">
        <v>9</v>
      </c>
      <c r="D224" s="2" t="s">
        <v>20</v>
      </c>
      <c r="E224" s="2" t="s">
        <v>15</v>
      </c>
      <c r="F224" s="2" t="s">
        <v>27</v>
      </c>
      <c r="G224">
        <v>0</v>
      </c>
      <c r="H224" s="2" t="s">
        <v>24</v>
      </c>
      <c r="I224" s="2" t="s">
        <v>85</v>
      </c>
      <c r="J224">
        <v>0</v>
      </c>
      <c r="K224">
        <v>0</v>
      </c>
      <c r="L224">
        <f>correct_ratio_df__3[[#This Row],[available]]-correct_ratio_df__3[[#This Row],[stable]]</f>
        <v>0</v>
      </c>
    </row>
    <row r="225" spans="1:12" x14ac:dyDescent="0.2">
      <c r="A225">
        <v>223</v>
      </c>
      <c r="B225" s="2" t="s">
        <v>64</v>
      </c>
      <c r="C225" s="2" t="s">
        <v>14</v>
      </c>
      <c r="D225" s="2" t="s">
        <v>17</v>
      </c>
      <c r="E225" s="2" t="s">
        <v>11</v>
      </c>
      <c r="F225" s="2" t="s">
        <v>27</v>
      </c>
      <c r="G225">
        <v>1</v>
      </c>
      <c r="H225" s="2" t="s">
        <v>24</v>
      </c>
      <c r="I225" s="2" t="s">
        <v>85</v>
      </c>
      <c r="J225">
        <v>1</v>
      </c>
      <c r="K225">
        <v>1</v>
      </c>
      <c r="L225">
        <f>correct_ratio_df__3[[#This Row],[available]]-correct_ratio_df__3[[#This Row],[stable]]</f>
        <v>0</v>
      </c>
    </row>
    <row r="226" spans="1:12" x14ac:dyDescent="0.2">
      <c r="A226">
        <v>224</v>
      </c>
      <c r="B226" s="2" t="s">
        <v>65</v>
      </c>
      <c r="C226" s="2" t="s">
        <v>19</v>
      </c>
      <c r="D226" s="2" t="s">
        <v>18</v>
      </c>
      <c r="E226" s="2" t="s">
        <v>21</v>
      </c>
      <c r="F226" s="2" t="s">
        <v>27</v>
      </c>
      <c r="G226">
        <v>1</v>
      </c>
      <c r="H226" s="2" t="s">
        <v>24</v>
      </c>
      <c r="I226" s="2" t="s">
        <v>85</v>
      </c>
      <c r="J226">
        <v>1</v>
      </c>
      <c r="K226">
        <v>1</v>
      </c>
      <c r="L226">
        <f>correct_ratio_df__3[[#This Row],[available]]-correct_ratio_df__3[[#This Row],[stable]]</f>
        <v>0</v>
      </c>
    </row>
    <row r="227" spans="1:12" x14ac:dyDescent="0.2">
      <c r="A227">
        <v>225</v>
      </c>
      <c r="B227" s="2" t="s">
        <v>66</v>
      </c>
      <c r="C227" s="2" t="s">
        <v>14</v>
      </c>
      <c r="D227" s="2" t="s">
        <v>18</v>
      </c>
      <c r="E227" s="2" t="s">
        <v>15</v>
      </c>
      <c r="F227" s="2" t="s">
        <v>27</v>
      </c>
      <c r="G227">
        <v>1</v>
      </c>
      <c r="H227" s="2" t="s">
        <v>24</v>
      </c>
      <c r="I227" s="2" t="s">
        <v>85</v>
      </c>
      <c r="J227">
        <v>1</v>
      </c>
      <c r="K227">
        <v>1</v>
      </c>
      <c r="L227">
        <f>correct_ratio_df__3[[#This Row],[available]]-correct_ratio_df__3[[#This Row],[stable]]</f>
        <v>0</v>
      </c>
    </row>
    <row r="228" spans="1:12" x14ac:dyDescent="0.2">
      <c r="A228">
        <v>226</v>
      </c>
      <c r="B228" s="2" t="s">
        <v>67</v>
      </c>
      <c r="C228" s="2" t="s">
        <v>9</v>
      </c>
      <c r="D228" s="2" t="s">
        <v>17</v>
      </c>
      <c r="E228" s="2" t="s">
        <v>21</v>
      </c>
      <c r="F228" s="2" t="s">
        <v>27</v>
      </c>
      <c r="G228">
        <v>1</v>
      </c>
      <c r="H228" s="2" t="s">
        <v>24</v>
      </c>
      <c r="I228" s="2" t="s">
        <v>85</v>
      </c>
      <c r="J228">
        <v>1</v>
      </c>
      <c r="K228">
        <v>1</v>
      </c>
      <c r="L228">
        <f>correct_ratio_df__3[[#This Row],[available]]-correct_ratio_df__3[[#This Row],[stable]]</f>
        <v>0</v>
      </c>
    </row>
    <row r="229" spans="1:12" x14ac:dyDescent="0.2">
      <c r="A229">
        <v>227</v>
      </c>
      <c r="B229" s="2" t="s">
        <v>68</v>
      </c>
      <c r="C229" s="2" t="s">
        <v>14</v>
      </c>
      <c r="D229" s="2" t="s">
        <v>17</v>
      </c>
      <c r="E229" s="2" t="s">
        <v>15</v>
      </c>
      <c r="F229" s="2" t="s">
        <v>27</v>
      </c>
      <c r="G229">
        <v>0.66666666666666663</v>
      </c>
      <c r="H229" s="2" t="s">
        <v>24</v>
      </c>
      <c r="I229" s="2" t="s">
        <v>85</v>
      </c>
      <c r="J229">
        <v>1</v>
      </c>
      <c r="K229">
        <v>0</v>
      </c>
      <c r="L229">
        <f>correct_ratio_df__3[[#This Row],[available]]-correct_ratio_df__3[[#This Row],[stable]]</f>
        <v>1</v>
      </c>
    </row>
    <row r="230" spans="1:12" x14ac:dyDescent="0.2">
      <c r="A230">
        <v>228</v>
      </c>
      <c r="B230" s="2" t="s">
        <v>69</v>
      </c>
      <c r="C230" s="2" t="s">
        <v>22</v>
      </c>
      <c r="D230" s="2" t="s">
        <v>17</v>
      </c>
      <c r="E230" s="2" t="s">
        <v>11</v>
      </c>
      <c r="F230" s="2" t="s">
        <v>27</v>
      </c>
      <c r="G230">
        <v>1</v>
      </c>
      <c r="H230" s="2" t="s">
        <v>24</v>
      </c>
      <c r="I230" s="2" t="s">
        <v>85</v>
      </c>
      <c r="J230">
        <v>1</v>
      </c>
      <c r="K230">
        <v>1</v>
      </c>
      <c r="L230">
        <f>correct_ratio_df__3[[#This Row],[available]]-correct_ratio_df__3[[#This Row],[stable]]</f>
        <v>0</v>
      </c>
    </row>
    <row r="231" spans="1:12" x14ac:dyDescent="0.2">
      <c r="A231">
        <v>229</v>
      </c>
      <c r="B231" s="2" t="s">
        <v>70</v>
      </c>
      <c r="C231" s="2" t="s">
        <v>9</v>
      </c>
      <c r="D231" s="2" t="s">
        <v>17</v>
      </c>
      <c r="E231" s="2" t="s">
        <v>15</v>
      </c>
      <c r="F231" s="2" t="s">
        <v>27</v>
      </c>
      <c r="G231">
        <v>0</v>
      </c>
      <c r="H231" s="2" t="s">
        <v>24</v>
      </c>
      <c r="I231" s="2" t="s">
        <v>85</v>
      </c>
      <c r="J231">
        <v>0</v>
      </c>
      <c r="K231">
        <v>0</v>
      </c>
      <c r="L231">
        <f>correct_ratio_df__3[[#This Row],[available]]-correct_ratio_df__3[[#This Row],[stable]]</f>
        <v>0</v>
      </c>
    </row>
    <row r="232" spans="1:12" x14ac:dyDescent="0.2">
      <c r="A232">
        <v>230</v>
      </c>
      <c r="B232" s="2" t="s">
        <v>71</v>
      </c>
      <c r="C232" s="2" t="s">
        <v>9</v>
      </c>
      <c r="D232" s="2" t="s">
        <v>17</v>
      </c>
      <c r="E232" s="2" t="s">
        <v>21</v>
      </c>
      <c r="F232" s="2" t="s">
        <v>27</v>
      </c>
      <c r="G232">
        <v>0.66666666666666663</v>
      </c>
      <c r="H232" s="2" t="s">
        <v>24</v>
      </c>
      <c r="I232" s="2" t="s">
        <v>85</v>
      </c>
      <c r="J232">
        <v>1</v>
      </c>
      <c r="K232">
        <v>0</v>
      </c>
      <c r="L232">
        <f>correct_ratio_df__3[[#This Row],[available]]-correct_ratio_df__3[[#This Row],[stable]]</f>
        <v>1</v>
      </c>
    </row>
    <row r="233" spans="1:12" x14ac:dyDescent="0.2">
      <c r="A233">
        <v>231</v>
      </c>
      <c r="B233" s="2" t="s">
        <v>72</v>
      </c>
      <c r="C233" s="2" t="s">
        <v>19</v>
      </c>
      <c r="D233" s="2" t="s">
        <v>17</v>
      </c>
      <c r="E233" s="2" t="s">
        <v>11</v>
      </c>
      <c r="F233" s="2" t="s">
        <v>27</v>
      </c>
      <c r="G233">
        <v>0.33333333333333331</v>
      </c>
      <c r="H233" s="2" t="s">
        <v>24</v>
      </c>
      <c r="I233" s="2" t="s">
        <v>85</v>
      </c>
      <c r="J233">
        <v>1</v>
      </c>
      <c r="K233">
        <v>0</v>
      </c>
      <c r="L233">
        <f>correct_ratio_df__3[[#This Row],[available]]-correct_ratio_df__3[[#This Row],[stable]]</f>
        <v>1</v>
      </c>
    </row>
    <row r="234" spans="1:12" x14ac:dyDescent="0.2">
      <c r="A234">
        <v>232</v>
      </c>
      <c r="B234" s="2" t="s">
        <v>73</v>
      </c>
      <c r="C234" s="2" t="s">
        <v>16</v>
      </c>
      <c r="D234" s="2" t="s">
        <v>17</v>
      </c>
      <c r="E234" s="2" t="s">
        <v>11</v>
      </c>
      <c r="F234" s="2" t="s">
        <v>27</v>
      </c>
      <c r="G234">
        <v>0.66666666666666663</v>
      </c>
      <c r="H234" s="2" t="s">
        <v>24</v>
      </c>
      <c r="I234" s="2" t="s">
        <v>85</v>
      </c>
      <c r="J234">
        <v>1</v>
      </c>
      <c r="K234">
        <v>0</v>
      </c>
      <c r="L234">
        <f>correct_ratio_df__3[[#This Row],[available]]-correct_ratio_df__3[[#This Row],[stable]]</f>
        <v>1</v>
      </c>
    </row>
    <row r="235" spans="1:12" x14ac:dyDescent="0.2">
      <c r="A235">
        <v>233</v>
      </c>
      <c r="B235" s="2" t="s">
        <v>74</v>
      </c>
      <c r="C235" s="2" t="s">
        <v>22</v>
      </c>
      <c r="D235" s="2" t="s">
        <v>17</v>
      </c>
      <c r="E235" s="2" t="s">
        <v>21</v>
      </c>
      <c r="F235" s="2" t="s">
        <v>27</v>
      </c>
      <c r="G235">
        <v>1</v>
      </c>
      <c r="H235" s="2" t="s">
        <v>24</v>
      </c>
      <c r="I235" s="2" t="s">
        <v>85</v>
      </c>
      <c r="J235">
        <v>1</v>
      </c>
      <c r="K235">
        <v>1</v>
      </c>
      <c r="L235">
        <f>correct_ratio_df__3[[#This Row],[available]]-correct_ratio_df__3[[#This Row],[stable]]</f>
        <v>0</v>
      </c>
    </row>
    <row r="236" spans="1:12" x14ac:dyDescent="0.2">
      <c r="A236">
        <v>234</v>
      </c>
      <c r="B236" s="2" t="s">
        <v>75</v>
      </c>
      <c r="C236" s="2" t="s">
        <v>14</v>
      </c>
      <c r="D236" s="2" t="s">
        <v>17</v>
      </c>
      <c r="E236" s="2" t="s">
        <v>21</v>
      </c>
      <c r="F236" s="2" t="s">
        <v>27</v>
      </c>
      <c r="G236">
        <v>1</v>
      </c>
      <c r="H236" s="2" t="s">
        <v>24</v>
      </c>
      <c r="I236" s="2" t="s">
        <v>85</v>
      </c>
      <c r="J236">
        <v>1</v>
      </c>
      <c r="K236">
        <v>1</v>
      </c>
      <c r="L236">
        <f>correct_ratio_df__3[[#This Row],[available]]-correct_ratio_df__3[[#This Row],[stable]]</f>
        <v>0</v>
      </c>
    </row>
    <row r="237" spans="1:12" x14ac:dyDescent="0.2">
      <c r="A237">
        <v>235</v>
      </c>
      <c r="B237" s="2" t="s">
        <v>76</v>
      </c>
      <c r="C237" s="2" t="s">
        <v>14</v>
      </c>
      <c r="D237" s="2" t="s">
        <v>10</v>
      </c>
      <c r="E237" s="2" t="s">
        <v>21</v>
      </c>
      <c r="F237" s="2" t="s">
        <v>27</v>
      </c>
      <c r="G237">
        <v>1</v>
      </c>
      <c r="H237" s="2" t="s">
        <v>24</v>
      </c>
      <c r="I237" s="2" t="s">
        <v>85</v>
      </c>
      <c r="J237">
        <v>1</v>
      </c>
      <c r="K237">
        <v>1</v>
      </c>
      <c r="L237">
        <f>correct_ratio_df__3[[#This Row],[available]]-correct_ratio_df__3[[#This Row],[stable]]</f>
        <v>0</v>
      </c>
    </row>
    <row r="238" spans="1:12" x14ac:dyDescent="0.2">
      <c r="A238">
        <v>236</v>
      </c>
      <c r="B238" s="2" t="s">
        <v>77</v>
      </c>
      <c r="C238" s="2" t="s">
        <v>9</v>
      </c>
      <c r="D238" s="2" t="s">
        <v>17</v>
      </c>
      <c r="E238" s="2" t="s">
        <v>15</v>
      </c>
      <c r="F238" s="2" t="s">
        <v>27</v>
      </c>
      <c r="G238">
        <v>1</v>
      </c>
      <c r="H238" s="2" t="s">
        <v>24</v>
      </c>
      <c r="I238" s="2" t="s">
        <v>85</v>
      </c>
      <c r="J238">
        <v>1</v>
      </c>
      <c r="K238">
        <v>1</v>
      </c>
      <c r="L238">
        <f>correct_ratio_df__3[[#This Row],[available]]-correct_ratio_df__3[[#This Row],[stable]]</f>
        <v>0</v>
      </c>
    </row>
    <row r="239" spans="1:12" x14ac:dyDescent="0.2">
      <c r="A239">
        <v>237</v>
      </c>
      <c r="B239" s="2" t="s">
        <v>78</v>
      </c>
      <c r="C239" s="2" t="s">
        <v>9</v>
      </c>
      <c r="D239" s="2" t="s">
        <v>17</v>
      </c>
      <c r="E239" s="2" t="s">
        <v>21</v>
      </c>
      <c r="F239" s="2" t="s">
        <v>27</v>
      </c>
      <c r="G239">
        <v>1</v>
      </c>
      <c r="H239" s="2" t="s">
        <v>24</v>
      </c>
      <c r="I239" s="2" t="s">
        <v>85</v>
      </c>
      <c r="J239">
        <v>1</v>
      </c>
      <c r="K239">
        <v>1</v>
      </c>
      <c r="L239">
        <f>correct_ratio_df__3[[#This Row],[available]]-correct_ratio_df__3[[#This Row],[stable]]</f>
        <v>0</v>
      </c>
    </row>
    <row r="240" spans="1:12" x14ac:dyDescent="0.2">
      <c r="A240">
        <v>238</v>
      </c>
      <c r="B240" s="2" t="s">
        <v>79</v>
      </c>
      <c r="C240" s="2" t="s">
        <v>14</v>
      </c>
      <c r="D240" s="2" t="s">
        <v>17</v>
      </c>
      <c r="E240" s="2" t="s">
        <v>11</v>
      </c>
      <c r="F240" s="2" t="s">
        <v>27</v>
      </c>
      <c r="G240">
        <v>0</v>
      </c>
      <c r="H240" s="2" t="s">
        <v>24</v>
      </c>
      <c r="I240" s="2" t="s">
        <v>85</v>
      </c>
      <c r="J240">
        <v>0</v>
      </c>
      <c r="K240">
        <v>0</v>
      </c>
      <c r="L240">
        <f>correct_ratio_df__3[[#This Row],[available]]-correct_ratio_df__3[[#This Row],[stable]]</f>
        <v>0</v>
      </c>
    </row>
    <row r="241" spans="1:12" x14ac:dyDescent="0.2">
      <c r="A241">
        <v>239</v>
      </c>
      <c r="B241" s="2" t="s">
        <v>80</v>
      </c>
      <c r="C241" s="2" t="s">
        <v>22</v>
      </c>
      <c r="D241" s="2" t="s">
        <v>20</v>
      </c>
      <c r="E241" s="2" t="s">
        <v>11</v>
      </c>
      <c r="F241" s="2" t="s">
        <v>27</v>
      </c>
      <c r="G241">
        <v>0.33333333333333331</v>
      </c>
      <c r="H241" s="2" t="s">
        <v>24</v>
      </c>
      <c r="I241" s="2" t="s">
        <v>85</v>
      </c>
      <c r="J241">
        <v>1</v>
      </c>
      <c r="K241">
        <v>0</v>
      </c>
      <c r="L241">
        <f>correct_ratio_df__3[[#This Row],[available]]-correct_ratio_df__3[[#This Row],[stable]]</f>
        <v>1</v>
      </c>
    </row>
    <row r="242" spans="1:12" x14ac:dyDescent="0.2">
      <c r="A242">
        <v>240</v>
      </c>
      <c r="B242" s="2" t="s">
        <v>41</v>
      </c>
      <c r="C242" s="2" t="s">
        <v>9</v>
      </c>
      <c r="D242" s="2" t="s">
        <v>10</v>
      </c>
      <c r="E242" s="2" t="s">
        <v>11</v>
      </c>
      <c r="F242" s="2" t="s">
        <v>82</v>
      </c>
      <c r="G242">
        <v>1</v>
      </c>
      <c r="H242" s="2" t="s">
        <v>13</v>
      </c>
      <c r="I242" s="2" t="s">
        <v>90</v>
      </c>
      <c r="J242">
        <v>1</v>
      </c>
      <c r="K242">
        <v>1</v>
      </c>
      <c r="L242">
        <f>correct_ratio_df__3[[#This Row],[available]]-correct_ratio_df__3[[#This Row],[stable]]</f>
        <v>0</v>
      </c>
    </row>
    <row r="243" spans="1:12" x14ac:dyDescent="0.2">
      <c r="A243">
        <v>241</v>
      </c>
      <c r="B243" s="2" t="s">
        <v>42</v>
      </c>
      <c r="C243" s="2" t="s">
        <v>14</v>
      </c>
      <c r="D243" s="2" t="s">
        <v>10</v>
      </c>
      <c r="E243" s="2" t="s">
        <v>15</v>
      </c>
      <c r="F243" s="2" t="s">
        <v>82</v>
      </c>
      <c r="G243">
        <v>1</v>
      </c>
      <c r="H243" s="2" t="s">
        <v>13</v>
      </c>
      <c r="I243" s="2" t="s">
        <v>90</v>
      </c>
      <c r="J243">
        <v>1</v>
      </c>
      <c r="K243">
        <v>1</v>
      </c>
      <c r="L243">
        <f>correct_ratio_df__3[[#This Row],[available]]-correct_ratio_df__3[[#This Row],[stable]]</f>
        <v>0</v>
      </c>
    </row>
    <row r="244" spans="1:12" x14ac:dyDescent="0.2">
      <c r="A244">
        <v>242</v>
      </c>
      <c r="B244" s="2" t="s">
        <v>43</v>
      </c>
      <c r="C244" s="2" t="s">
        <v>16</v>
      </c>
      <c r="D244" s="2" t="s">
        <v>17</v>
      </c>
      <c r="E244" s="2" t="s">
        <v>11</v>
      </c>
      <c r="F244" s="2" t="s">
        <v>82</v>
      </c>
      <c r="G244">
        <v>1</v>
      </c>
      <c r="H244" s="2" t="s">
        <v>13</v>
      </c>
      <c r="I244" s="2" t="s">
        <v>90</v>
      </c>
      <c r="J244">
        <v>1</v>
      </c>
      <c r="K244">
        <v>1</v>
      </c>
      <c r="L244">
        <f>correct_ratio_df__3[[#This Row],[available]]-correct_ratio_df__3[[#This Row],[stable]]</f>
        <v>0</v>
      </c>
    </row>
    <row r="245" spans="1:12" x14ac:dyDescent="0.2">
      <c r="A245">
        <v>243</v>
      </c>
      <c r="B245" s="2" t="s">
        <v>44</v>
      </c>
      <c r="C245" s="2" t="s">
        <v>16</v>
      </c>
      <c r="D245" s="2" t="s">
        <v>10</v>
      </c>
      <c r="E245" s="2" t="s">
        <v>15</v>
      </c>
      <c r="F245" s="2" t="s">
        <v>82</v>
      </c>
      <c r="G245">
        <v>1</v>
      </c>
      <c r="H245" s="2" t="s">
        <v>13</v>
      </c>
      <c r="I245" s="2" t="s">
        <v>90</v>
      </c>
      <c r="J245">
        <v>1</v>
      </c>
      <c r="K245">
        <v>1</v>
      </c>
      <c r="L245">
        <f>correct_ratio_df__3[[#This Row],[available]]-correct_ratio_df__3[[#This Row],[stable]]</f>
        <v>0</v>
      </c>
    </row>
    <row r="246" spans="1:12" x14ac:dyDescent="0.2">
      <c r="A246">
        <v>244</v>
      </c>
      <c r="B246" s="2" t="s">
        <v>45</v>
      </c>
      <c r="C246" s="2" t="s">
        <v>14</v>
      </c>
      <c r="D246" s="2" t="s">
        <v>18</v>
      </c>
      <c r="E246" s="2" t="s">
        <v>15</v>
      </c>
      <c r="F246" s="2" t="s">
        <v>82</v>
      </c>
      <c r="G246">
        <v>1</v>
      </c>
      <c r="H246" s="2" t="s">
        <v>13</v>
      </c>
      <c r="I246" s="2" t="s">
        <v>90</v>
      </c>
      <c r="J246">
        <v>1</v>
      </c>
      <c r="K246">
        <v>1</v>
      </c>
      <c r="L246">
        <f>correct_ratio_df__3[[#This Row],[available]]-correct_ratio_df__3[[#This Row],[stable]]</f>
        <v>0</v>
      </c>
    </row>
    <row r="247" spans="1:12" x14ac:dyDescent="0.2">
      <c r="A247">
        <v>245</v>
      </c>
      <c r="B247" s="2" t="s">
        <v>46</v>
      </c>
      <c r="C247" s="2" t="s">
        <v>14</v>
      </c>
      <c r="D247" s="2" t="s">
        <v>10</v>
      </c>
      <c r="E247" s="2" t="s">
        <v>15</v>
      </c>
      <c r="F247" s="2" t="s">
        <v>82</v>
      </c>
      <c r="G247">
        <v>1</v>
      </c>
      <c r="H247" s="2" t="s">
        <v>13</v>
      </c>
      <c r="I247" s="2" t="s">
        <v>90</v>
      </c>
      <c r="J247">
        <v>1</v>
      </c>
      <c r="K247">
        <v>1</v>
      </c>
      <c r="L247">
        <f>correct_ratio_df__3[[#This Row],[available]]-correct_ratio_df__3[[#This Row],[stable]]</f>
        <v>0</v>
      </c>
    </row>
    <row r="248" spans="1:12" x14ac:dyDescent="0.2">
      <c r="A248">
        <v>246</v>
      </c>
      <c r="B248" s="2" t="s">
        <v>47</v>
      </c>
      <c r="C248" s="2" t="s">
        <v>19</v>
      </c>
      <c r="D248" s="2" t="s">
        <v>10</v>
      </c>
      <c r="E248" s="2" t="s">
        <v>15</v>
      </c>
      <c r="F248" s="2" t="s">
        <v>82</v>
      </c>
      <c r="G248">
        <v>1</v>
      </c>
      <c r="H248" s="2" t="s">
        <v>13</v>
      </c>
      <c r="I248" s="2" t="s">
        <v>90</v>
      </c>
      <c r="J248">
        <v>1</v>
      </c>
      <c r="K248">
        <v>1</v>
      </c>
      <c r="L248">
        <f>correct_ratio_df__3[[#This Row],[available]]-correct_ratio_df__3[[#This Row],[stable]]</f>
        <v>0</v>
      </c>
    </row>
    <row r="249" spans="1:12" x14ac:dyDescent="0.2">
      <c r="A249">
        <v>247</v>
      </c>
      <c r="B249" s="2" t="s">
        <v>48</v>
      </c>
      <c r="C249" s="2" t="s">
        <v>16</v>
      </c>
      <c r="D249" s="2" t="s">
        <v>20</v>
      </c>
      <c r="E249" s="2" t="s">
        <v>21</v>
      </c>
      <c r="F249" s="2" t="s">
        <v>82</v>
      </c>
      <c r="G249">
        <v>1</v>
      </c>
      <c r="H249" s="2" t="s">
        <v>13</v>
      </c>
      <c r="I249" s="2" t="s">
        <v>90</v>
      </c>
      <c r="J249">
        <v>1</v>
      </c>
      <c r="K249">
        <v>1</v>
      </c>
      <c r="L249">
        <f>correct_ratio_df__3[[#This Row],[available]]-correct_ratio_df__3[[#This Row],[stable]]</f>
        <v>0</v>
      </c>
    </row>
    <row r="250" spans="1:12" x14ac:dyDescent="0.2">
      <c r="A250">
        <v>248</v>
      </c>
      <c r="B250" s="2" t="s">
        <v>49</v>
      </c>
      <c r="C250" s="2" t="s">
        <v>16</v>
      </c>
      <c r="D250" s="2" t="s">
        <v>10</v>
      </c>
      <c r="E250" s="2" t="s">
        <v>21</v>
      </c>
      <c r="F250" s="2" t="s">
        <v>82</v>
      </c>
      <c r="G250">
        <v>1</v>
      </c>
      <c r="H250" s="2" t="s">
        <v>13</v>
      </c>
      <c r="I250" s="2" t="s">
        <v>90</v>
      </c>
      <c r="J250">
        <v>1</v>
      </c>
      <c r="K250">
        <v>1</v>
      </c>
      <c r="L250">
        <f>correct_ratio_df__3[[#This Row],[available]]-correct_ratio_df__3[[#This Row],[stable]]</f>
        <v>0</v>
      </c>
    </row>
    <row r="251" spans="1:12" x14ac:dyDescent="0.2">
      <c r="A251">
        <v>249</v>
      </c>
      <c r="B251" s="2" t="s">
        <v>50</v>
      </c>
      <c r="C251" s="2" t="s">
        <v>9</v>
      </c>
      <c r="D251" s="2" t="s">
        <v>17</v>
      </c>
      <c r="E251" s="2" t="s">
        <v>21</v>
      </c>
      <c r="F251" s="2" t="s">
        <v>82</v>
      </c>
      <c r="G251">
        <v>1</v>
      </c>
      <c r="H251" s="2" t="s">
        <v>13</v>
      </c>
      <c r="I251" s="2" t="s">
        <v>90</v>
      </c>
      <c r="J251">
        <v>1</v>
      </c>
      <c r="K251">
        <v>1</v>
      </c>
      <c r="L251">
        <f>correct_ratio_df__3[[#This Row],[available]]-correct_ratio_df__3[[#This Row],[stable]]</f>
        <v>0</v>
      </c>
    </row>
    <row r="252" spans="1:12" x14ac:dyDescent="0.2">
      <c r="A252">
        <v>250</v>
      </c>
      <c r="B252" s="2" t="s">
        <v>51</v>
      </c>
      <c r="C252" s="2" t="s">
        <v>16</v>
      </c>
      <c r="D252" s="2" t="s">
        <v>17</v>
      </c>
      <c r="E252" s="2" t="s">
        <v>11</v>
      </c>
      <c r="F252" s="2" t="s">
        <v>82</v>
      </c>
      <c r="G252">
        <v>1</v>
      </c>
      <c r="H252" s="2" t="s">
        <v>13</v>
      </c>
      <c r="I252" s="2" t="s">
        <v>90</v>
      </c>
      <c r="J252">
        <v>1</v>
      </c>
      <c r="K252">
        <v>1</v>
      </c>
      <c r="L252">
        <f>correct_ratio_df__3[[#This Row],[available]]-correct_ratio_df__3[[#This Row],[stable]]</f>
        <v>0</v>
      </c>
    </row>
    <row r="253" spans="1:12" x14ac:dyDescent="0.2">
      <c r="A253">
        <v>251</v>
      </c>
      <c r="B253" s="2" t="s">
        <v>52</v>
      </c>
      <c r="C253" s="2" t="s">
        <v>9</v>
      </c>
      <c r="D253" s="2" t="s">
        <v>17</v>
      </c>
      <c r="E253" s="2" t="s">
        <v>15</v>
      </c>
      <c r="F253" s="2" t="s">
        <v>82</v>
      </c>
      <c r="G253">
        <v>1</v>
      </c>
      <c r="H253" s="2" t="s">
        <v>13</v>
      </c>
      <c r="I253" s="2" t="s">
        <v>90</v>
      </c>
      <c r="J253">
        <v>1</v>
      </c>
      <c r="K253">
        <v>1</v>
      </c>
      <c r="L253">
        <f>correct_ratio_df__3[[#This Row],[available]]-correct_ratio_df__3[[#This Row],[stable]]</f>
        <v>0</v>
      </c>
    </row>
    <row r="254" spans="1:12" x14ac:dyDescent="0.2">
      <c r="A254">
        <v>252</v>
      </c>
      <c r="B254" s="2" t="s">
        <v>53</v>
      </c>
      <c r="C254" s="2" t="s">
        <v>19</v>
      </c>
      <c r="D254" s="2" t="s">
        <v>17</v>
      </c>
      <c r="E254" s="2" t="s">
        <v>21</v>
      </c>
      <c r="F254" s="2" t="s">
        <v>82</v>
      </c>
      <c r="G254">
        <v>1</v>
      </c>
      <c r="H254" s="2" t="s">
        <v>13</v>
      </c>
      <c r="I254" s="2" t="s">
        <v>90</v>
      </c>
      <c r="J254">
        <v>1</v>
      </c>
      <c r="K254">
        <v>1</v>
      </c>
      <c r="L254">
        <f>correct_ratio_df__3[[#This Row],[available]]-correct_ratio_df__3[[#This Row],[stable]]</f>
        <v>0</v>
      </c>
    </row>
    <row r="255" spans="1:12" x14ac:dyDescent="0.2">
      <c r="A255">
        <v>253</v>
      </c>
      <c r="B255" s="2" t="s">
        <v>54</v>
      </c>
      <c r="C255" s="2" t="s">
        <v>14</v>
      </c>
      <c r="D255" s="2" t="s">
        <v>17</v>
      </c>
      <c r="E255" s="2" t="s">
        <v>15</v>
      </c>
      <c r="F255" s="2" t="s">
        <v>82</v>
      </c>
      <c r="G255">
        <v>1</v>
      </c>
      <c r="H255" s="2" t="s">
        <v>13</v>
      </c>
      <c r="I255" s="2" t="s">
        <v>90</v>
      </c>
      <c r="J255">
        <v>1</v>
      </c>
      <c r="K255">
        <v>1</v>
      </c>
      <c r="L255">
        <f>correct_ratio_df__3[[#This Row],[available]]-correct_ratio_df__3[[#This Row],[stable]]</f>
        <v>0</v>
      </c>
    </row>
    <row r="256" spans="1:12" x14ac:dyDescent="0.2">
      <c r="A256">
        <v>254</v>
      </c>
      <c r="B256" s="2" t="s">
        <v>55</v>
      </c>
      <c r="C256" s="2" t="s">
        <v>9</v>
      </c>
      <c r="D256" s="2" t="s">
        <v>18</v>
      </c>
      <c r="E256" s="2" t="s">
        <v>21</v>
      </c>
      <c r="F256" s="2" t="s">
        <v>82</v>
      </c>
      <c r="G256">
        <v>1</v>
      </c>
      <c r="H256" s="2" t="s">
        <v>13</v>
      </c>
      <c r="I256" s="2" t="s">
        <v>90</v>
      </c>
      <c r="J256">
        <v>1</v>
      </c>
      <c r="K256">
        <v>1</v>
      </c>
      <c r="L256">
        <f>correct_ratio_df__3[[#This Row],[available]]-correct_ratio_df__3[[#This Row],[stable]]</f>
        <v>0</v>
      </c>
    </row>
    <row r="257" spans="1:12" x14ac:dyDescent="0.2">
      <c r="A257">
        <v>255</v>
      </c>
      <c r="B257" s="2" t="s">
        <v>56</v>
      </c>
      <c r="C257" s="2" t="s">
        <v>19</v>
      </c>
      <c r="D257" s="2" t="s">
        <v>17</v>
      </c>
      <c r="E257" s="2" t="s">
        <v>21</v>
      </c>
      <c r="F257" s="2" t="s">
        <v>82</v>
      </c>
      <c r="G257">
        <v>1</v>
      </c>
      <c r="H257" s="2" t="s">
        <v>13</v>
      </c>
      <c r="I257" s="2" t="s">
        <v>90</v>
      </c>
      <c r="J257">
        <v>1</v>
      </c>
      <c r="K257">
        <v>1</v>
      </c>
      <c r="L257">
        <f>correct_ratio_df__3[[#This Row],[available]]-correct_ratio_df__3[[#This Row],[stable]]</f>
        <v>0</v>
      </c>
    </row>
    <row r="258" spans="1:12" x14ac:dyDescent="0.2">
      <c r="A258">
        <v>256</v>
      </c>
      <c r="B258" s="2" t="s">
        <v>57</v>
      </c>
      <c r="C258" s="2" t="s">
        <v>9</v>
      </c>
      <c r="D258" s="2" t="s">
        <v>17</v>
      </c>
      <c r="E258" s="2" t="s">
        <v>21</v>
      </c>
      <c r="F258" s="2" t="s">
        <v>82</v>
      </c>
      <c r="G258">
        <v>1</v>
      </c>
      <c r="H258" s="2" t="s">
        <v>13</v>
      </c>
      <c r="I258" s="2" t="s">
        <v>90</v>
      </c>
      <c r="J258">
        <v>1</v>
      </c>
      <c r="K258">
        <v>1</v>
      </c>
      <c r="L258">
        <f>correct_ratio_df__3[[#This Row],[available]]-correct_ratio_df__3[[#This Row],[stable]]</f>
        <v>0</v>
      </c>
    </row>
    <row r="259" spans="1:12" x14ac:dyDescent="0.2">
      <c r="A259">
        <v>257</v>
      </c>
      <c r="B259" s="2" t="s">
        <v>58</v>
      </c>
      <c r="C259" s="2" t="s">
        <v>9</v>
      </c>
      <c r="D259" s="2" t="s">
        <v>17</v>
      </c>
      <c r="E259" s="2" t="s">
        <v>21</v>
      </c>
      <c r="F259" s="2" t="s">
        <v>82</v>
      </c>
      <c r="G259">
        <v>1</v>
      </c>
      <c r="H259" s="2" t="s">
        <v>13</v>
      </c>
      <c r="I259" s="2" t="s">
        <v>90</v>
      </c>
      <c r="J259">
        <v>1</v>
      </c>
      <c r="K259">
        <v>1</v>
      </c>
      <c r="L259">
        <f>correct_ratio_df__3[[#This Row],[available]]-correct_ratio_df__3[[#This Row],[stable]]</f>
        <v>0</v>
      </c>
    </row>
    <row r="260" spans="1:12" x14ac:dyDescent="0.2">
      <c r="A260">
        <v>258</v>
      </c>
      <c r="B260" s="2" t="s">
        <v>59</v>
      </c>
      <c r="C260" s="2" t="s">
        <v>19</v>
      </c>
      <c r="D260" s="2" t="s">
        <v>17</v>
      </c>
      <c r="E260" s="2" t="s">
        <v>15</v>
      </c>
      <c r="F260" s="2" t="s">
        <v>82</v>
      </c>
      <c r="G260">
        <v>1</v>
      </c>
      <c r="H260" s="2" t="s">
        <v>13</v>
      </c>
      <c r="I260" s="2" t="s">
        <v>90</v>
      </c>
      <c r="J260">
        <v>1</v>
      </c>
      <c r="K260">
        <v>1</v>
      </c>
      <c r="L260">
        <f>correct_ratio_df__3[[#This Row],[available]]-correct_ratio_df__3[[#This Row],[stable]]</f>
        <v>0</v>
      </c>
    </row>
    <row r="261" spans="1:12" x14ac:dyDescent="0.2">
      <c r="A261">
        <v>259</v>
      </c>
      <c r="B261" s="2" t="s">
        <v>60</v>
      </c>
      <c r="C261" s="2" t="s">
        <v>9</v>
      </c>
      <c r="D261" s="2" t="s">
        <v>17</v>
      </c>
      <c r="E261" s="2" t="s">
        <v>21</v>
      </c>
      <c r="F261" s="2" t="s">
        <v>82</v>
      </c>
      <c r="G261">
        <v>1</v>
      </c>
      <c r="H261" s="2" t="s">
        <v>13</v>
      </c>
      <c r="I261" s="2" t="s">
        <v>90</v>
      </c>
      <c r="J261">
        <v>1</v>
      </c>
      <c r="K261">
        <v>1</v>
      </c>
      <c r="L261">
        <f>correct_ratio_df__3[[#This Row],[available]]-correct_ratio_df__3[[#This Row],[stable]]</f>
        <v>0</v>
      </c>
    </row>
    <row r="262" spans="1:12" x14ac:dyDescent="0.2">
      <c r="A262">
        <v>260</v>
      </c>
      <c r="B262" s="2" t="s">
        <v>61</v>
      </c>
      <c r="C262" s="2" t="s">
        <v>14</v>
      </c>
      <c r="D262" s="2" t="s">
        <v>10</v>
      </c>
      <c r="E262" s="2" t="s">
        <v>11</v>
      </c>
      <c r="F262" s="2" t="s">
        <v>82</v>
      </c>
      <c r="G262">
        <v>1</v>
      </c>
      <c r="H262" s="2" t="s">
        <v>13</v>
      </c>
      <c r="I262" s="2" t="s">
        <v>90</v>
      </c>
      <c r="J262">
        <v>1</v>
      </c>
      <c r="K262">
        <v>1</v>
      </c>
      <c r="L262">
        <f>correct_ratio_df__3[[#This Row],[available]]-correct_ratio_df__3[[#This Row],[stable]]</f>
        <v>0</v>
      </c>
    </row>
    <row r="263" spans="1:12" x14ac:dyDescent="0.2">
      <c r="A263">
        <v>261</v>
      </c>
      <c r="B263" s="2" t="s">
        <v>62</v>
      </c>
      <c r="C263" s="2" t="s">
        <v>16</v>
      </c>
      <c r="D263" s="2" t="s">
        <v>18</v>
      </c>
      <c r="E263" s="2" t="s">
        <v>11</v>
      </c>
      <c r="F263" s="2" t="s">
        <v>82</v>
      </c>
      <c r="G263">
        <v>1</v>
      </c>
      <c r="H263" s="2" t="s">
        <v>13</v>
      </c>
      <c r="I263" s="2" t="s">
        <v>90</v>
      </c>
      <c r="J263">
        <v>1</v>
      </c>
      <c r="K263">
        <v>1</v>
      </c>
      <c r="L263">
        <f>correct_ratio_df__3[[#This Row],[available]]-correct_ratio_df__3[[#This Row],[stable]]</f>
        <v>0</v>
      </c>
    </row>
    <row r="264" spans="1:12" x14ac:dyDescent="0.2">
      <c r="A264">
        <v>262</v>
      </c>
      <c r="B264" s="2" t="s">
        <v>63</v>
      </c>
      <c r="C264" s="2" t="s">
        <v>9</v>
      </c>
      <c r="D264" s="2" t="s">
        <v>20</v>
      </c>
      <c r="E264" s="2" t="s">
        <v>15</v>
      </c>
      <c r="F264" s="2" t="s">
        <v>82</v>
      </c>
      <c r="G264">
        <v>0.66666666666666663</v>
      </c>
      <c r="H264" s="2" t="s">
        <v>13</v>
      </c>
      <c r="I264" s="2" t="s">
        <v>90</v>
      </c>
      <c r="J264">
        <v>1</v>
      </c>
      <c r="K264">
        <v>0</v>
      </c>
      <c r="L264">
        <f>correct_ratio_df__3[[#This Row],[available]]-correct_ratio_df__3[[#This Row],[stable]]</f>
        <v>1</v>
      </c>
    </row>
    <row r="265" spans="1:12" x14ac:dyDescent="0.2">
      <c r="A265">
        <v>263</v>
      </c>
      <c r="B265" s="2" t="s">
        <v>64</v>
      </c>
      <c r="C265" s="2" t="s">
        <v>14</v>
      </c>
      <c r="D265" s="2" t="s">
        <v>17</v>
      </c>
      <c r="E265" s="2" t="s">
        <v>11</v>
      </c>
      <c r="F265" s="2" t="s">
        <v>82</v>
      </c>
      <c r="G265">
        <v>1</v>
      </c>
      <c r="H265" s="2" t="s">
        <v>13</v>
      </c>
      <c r="I265" s="2" t="s">
        <v>90</v>
      </c>
      <c r="J265">
        <v>1</v>
      </c>
      <c r="K265">
        <v>1</v>
      </c>
      <c r="L265">
        <f>correct_ratio_df__3[[#This Row],[available]]-correct_ratio_df__3[[#This Row],[stable]]</f>
        <v>0</v>
      </c>
    </row>
    <row r="266" spans="1:12" x14ac:dyDescent="0.2">
      <c r="A266">
        <v>264</v>
      </c>
      <c r="B266" s="2" t="s">
        <v>65</v>
      </c>
      <c r="C266" s="2" t="s">
        <v>19</v>
      </c>
      <c r="D266" s="2" t="s">
        <v>18</v>
      </c>
      <c r="E266" s="2" t="s">
        <v>21</v>
      </c>
      <c r="F266" s="2" t="s">
        <v>82</v>
      </c>
      <c r="G266">
        <v>1</v>
      </c>
      <c r="H266" s="2" t="s">
        <v>13</v>
      </c>
      <c r="I266" s="2" t="s">
        <v>90</v>
      </c>
      <c r="J266">
        <v>1</v>
      </c>
      <c r="K266">
        <v>1</v>
      </c>
      <c r="L266">
        <f>correct_ratio_df__3[[#This Row],[available]]-correct_ratio_df__3[[#This Row],[stable]]</f>
        <v>0</v>
      </c>
    </row>
    <row r="267" spans="1:12" x14ac:dyDescent="0.2">
      <c r="A267">
        <v>265</v>
      </c>
      <c r="B267" s="2" t="s">
        <v>66</v>
      </c>
      <c r="C267" s="2" t="s">
        <v>14</v>
      </c>
      <c r="D267" s="2" t="s">
        <v>18</v>
      </c>
      <c r="E267" s="2" t="s">
        <v>15</v>
      </c>
      <c r="F267" s="2" t="s">
        <v>82</v>
      </c>
      <c r="G267">
        <v>1</v>
      </c>
      <c r="H267" s="2" t="s">
        <v>13</v>
      </c>
      <c r="I267" s="2" t="s">
        <v>90</v>
      </c>
      <c r="J267">
        <v>1</v>
      </c>
      <c r="K267">
        <v>1</v>
      </c>
      <c r="L267">
        <f>correct_ratio_df__3[[#This Row],[available]]-correct_ratio_df__3[[#This Row],[stable]]</f>
        <v>0</v>
      </c>
    </row>
    <row r="268" spans="1:12" x14ac:dyDescent="0.2">
      <c r="A268">
        <v>266</v>
      </c>
      <c r="B268" s="2" t="s">
        <v>67</v>
      </c>
      <c r="C268" s="2" t="s">
        <v>9</v>
      </c>
      <c r="D268" s="2" t="s">
        <v>17</v>
      </c>
      <c r="E268" s="2" t="s">
        <v>21</v>
      </c>
      <c r="F268" s="2" t="s">
        <v>82</v>
      </c>
      <c r="G268">
        <v>1</v>
      </c>
      <c r="H268" s="2" t="s">
        <v>13</v>
      </c>
      <c r="I268" s="2" t="s">
        <v>90</v>
      </c>
      <c r="J268">
        <v>1</v>
      </c>
      <c r="K268">
        <v>1</v>
      </c>
      <c r="L268">
        <f>correct_ratio_df__3[[#This Row],[available]]-correct_ratio_df__3[[#This Row],[stable]]</f>
        <v>0</v>
      </c>
    </row>
    <row r="269" spans="1:12" x14ac:dyDescent="0.2">
      <c r="A269">
        <v>267</v>
      </c>
      <c r="B269" s="2" t="s">
        <v>68</v>
      </c>
      <c r="C269" s="2" t="s">
        <v>14</v>
      </c>
      <c r="D269" s="2" t="s">
        <v>17</v>
      </c>
      <c r="E269" s="2" t="s">
        <v>15</v>
      </c>
      <c r="F269" s="2" t="s">
        <v>82</v>
      </c>
      <c r="G269">
        <v>0.66666666666666663</v>
      </c>
      <c r="H269" s="2" t="s">
        <v>13</v>
      </c>
      <c r="I269" s="2" t="s">
        <v>90</v>
      </c>
      <c r="J269">
        <v>1</v>
      </c>
      <c r="K269">
        <v>0</v>
      </c>
      <c r="L269">
        <f>correct_ratio_df__3[[#This Row],[available]]-correct_ratio_df__3[[#This Row],[stable]]</f>
        <v>1</v>
      </c>
    </row>
    <row r="270" spans="1:12" x14ac:dyDescent="0.2">
      <c r="A270">
        <v>268</v>
      </c>
      <c r="B270" s="2" t="s">
        <v>69</v>
      </c>
      <c r="C270" s="2" t="s">
        <v>22</v>
      </c>
      <c r="D270" s="2" t="s">
        <v>17</v>
      </c>
      <c r="E270" s="2" t="s">
        <v>11</v>
      </c>
      <c r="F270" s="2" t="s">
        <v>82</v>
      </c>
      <c r="G270">
        <v>1</v>
      </c>
      <c r="H270" s="2" t="s">
        <v>13</v>
      </c>
      <c r="I270" s="2" t="s">
        <v>90</v>
      </c>
      <c r="J270">
        <v>1</v>
      </c>
      <c r="K270">
        <v>1</v>
      </c>
      <c r="L270">
        <f>correct_ratio_df__3[[#This Row],[available]]-correct_ratio_df__3[[#This Row],[stable]]</f>
        <v>0</v>
      </c>
    </row>
    <row r="271" spans="1:12" x14ac:dyDescent="0.2">
      <c r="A271">
        <v>269</v>
      </c>
      <c r="B271" s="2" t="s">
        <v>70</v>
      </c>
      <c r="C271" s="2" t="s">
        <v>9</v>
      </c>
      <c r="D271" s="2" t="s">
        <v>17</v>
      </c>
      <c r="E271" s="2" t="s">
        <v>15</v>
      </c>
      <c r="F271" s="2" t="s">
        <v>82</v>
      </c>
      <c r="G271">
        <v>1</v>
      </c>
      <c r="H271" s="2" t="s">
        <v>13</v>
      </c>
      <c r="I271" s="2" t="s">
        <v>90</v>
      </c>
      <c r="J271">
        <v>1</v>
      </c>
      <c r="K271">
        <v>1</v>
      </c>
      <c r="L271">
        <f>correct_ratio_df__3[[#This Row],[available]]-correct_ratio_df__3[[#This Row],[stable]]</f>
        <v>0</v>
      </c>
    </row>
    <row r="272" spans="1:12" x14ac:dyDescent="0.2">
      <c r="A272">
        <v>270</v>
      </c>
      <c r="B272" s="2" t="s">
        <v>71</v>
      </c>
      <c r="C272" s="2" t="s">
        <v>9</v>
      </c>
      <c r="D272" s="2" t="s">
        <v>17</v>
      </c>
      <c r="E272" s="2" t="s">
        <v>21</v>
      </c>
      <c r="F272" s="2" t="s">
        <v>82</v>
      </c>
      <c r="G272">
        <v>1</v>
      </c>
      <c r="H272" s="2" t="s">
        <v>13</v>
      </c>
      <c r="I272" s="2" t="s">
        <v>90</v>
      </c>
      <c r="J272">
        <v>1</v>
      </c>
      <c r="K272">
        <v>1</v>
      </c>
      <c r="L272">
        <f>correct_ratio_df__3[[#This Row],[available]]-correct_ratio_df__3[[#This Row],[stable]]</f>
        <v>0</v>
      </c>
    </row>
    <row r="273" spans="1:12" x14ac:dyDescent="0.2">
      <c r="A273">
        <v>271</v>
      </c>
      <c r="B273" s="2" t="s">
        <v>72</v>
      </c>
      <c r="C273" s="2" t="s">
        <v>19</v>
      </c>
      <c r="D273" s="2" t="s">
        <v>17</v>
      </c>
      <c r="E273" s="2" t="s">
        <v>11</v>
      </c>
      <c r="F273" s="2" t="s">
        <v>82</v>
      </c>
      <c r="G273">
        <v>1</v>
      </c>
      <c r="H273" s="2" t="s">
        <v>13</v>
      </c>
      <c r="I273" s="2" t="s">
        <v>90</v>
      </c>
      <c r="J273">
        <v>1</v>
      </c>
      <c r="K273">
        <v>1</v>
      </c>
      <c r="L273">
        <f>correct_ratio_df__3[[#This Row],[available]]-correct_ratio_df__3[[#This Row],[stable]]</f>
        <v>0</v>
      </c>
    </row>
    <row r="274" spans="1:12" x14ac:dyDescent="0.2">
      <c r="A274">
        <v>272</v>
      </c>
      <c r="B274" s="2" t="s">
        <v>73</v>
      </c>
      <c r="C274" s="2" t="s">
        <v>16</v>
      </c>
      <c r="D274" s="2" t="s">
        <v>17</v>
      </c>
      <c r="E274" s="2" t="s">
        <v>11</v>
      </c>
      <c r="F274" s="2" t="s">
        <v>82</v>
      </c>
      <c r="G274">
        <v>1</v>
      </c>
      <c r="H274" s="2" t="s">
        <v>13</v>
      </c>
      <c r="I274" s="2" t="s">
        <v>90</v>
      </c>
      <c r="J274">
        <v>1</v>
      </c>
      <c r="K274">
        <v>1</v>
      </c>
      <c r="L274">
        <f>correct_ratio_df__3[[#This Row],[available]]-correct_ratio_df__3[[#This Row],[stable]]</f>
        <v>0</v>
      </c>
    </row>
    <row r="275" spans="1:12" x14ac:dyDescent="0.2">
      <c r="A275">
        <v>273</v>
      </c>
      <c r="B275" s="2" t="s">
        <v>74</v>
      </c>
      <c r="C275" s="2" t="s">
        <v>22</v>
      </c>
      <c r="D275" s="2" t="s">
        <v>17</v>
      </c>
      <c r="E275" s="2" t="s">
        <v>21</v>
      </c>
      <c r="F275" s="2" t="s">
        <v>82</v>
      </c>
      <c r="G275">
        <v>1</v>
      </c>
      <c r="H275" s="2" t="s">
        <v>13</v>
      </c>
      <c r="I275" s="2" t="s">
        <v>90</v>
      </c>
      <c r="J275">
        <v>1</v>
      </c>
      <c r="K275">
        <v>1</v>
      </c>
      <c r="L275">
        <f>correct_ratio_df__3[[#This Row],[available]]-correct_ratio_df__3[[#This Row],[stable]]</f>
        <v>0</v>
      </c>
    </row>
    <row r="276" spans="1:12" x14ac:dyDescent="0.2">
      <c r="A276">
        <v>274</v>
      </c>
      <c r="B276" s="2" t="s">
        <v>75</v>
      </c>
      <c r="C276" s="2" t="s">
        <v>14</v>
      </c>
      <c r="D276" s="2" t="s">
        <v>17</v>
      </c>
      <c r="E276" s="2" t="s">
        <v>21</v>
      </c>
      <c r="F276" s="2" t="s">
        <v>82</v>
      </c>
      <c r="G276">
        <v>1</v>
      </c>
      <c r="H276" s="2" t="s">
        <v>13</v>
      </c>
      <c r="I276" s="2" t="s">
        <v>90</v>
      </c>
      <c r="J276">
        <v>1</v>
      </c>
      <c r="K276">
        <v>1</v>
      </c>
      <c r="L276">
        <f>correct_ratio_df__3[[#This Row],[available]]-correct_ratio_df__3[[#This Row],[stable]]</f>
        <v>0</v>
      </c>
    </row>
    <row r="277" spans="1:12" x14ac:dyDescent="0.2">
      <c r="A277">
        <v>275</v>
      </c>
      <c r="B277" s="2" t="s">
        <v>76</v>
      </c>
      <c r="C277" s="2" t="s">
        <v>14</v>
      </c>
      <c r="D277" s="2" t="s">
        <v>10</v>
      </c>
      <c r="E277" s="2" t="s">
        <v>21</v>
      </c>
      <c r="F277" s="2" t="s">
        <v>82</v>
      </c>
      <c r="G277">
        <v>1</v>
      </c>
      <c r="H277" s="2" t="s">
        <v>13</v>
      </c>
      <c r="I277" s="2" t="s">
        <v>90</v>
      </c>
      <c r="J277">
        <v>1</v>
      </c>
      <c r="K277">
        <v>1</v>
      </c>
      <c r="L277">
        <f>correct_ratio_df__3[[#This Row],[available]]-correct_ratio_df__3[[#This Row],[stable]]</f>
        <v>0</v>
      </c>
    </row>
    <row r="278" spans="1:12" x14ac:dyDescent="0.2">
      <c r="A278">
        <v>276</v>
      </c>
      <c r="B278" s="2" t="s">
        <v>77</v>
      </c>
      <c r="C278" s="2" t="s">
        <v>9</v>
      </c>
      <c r="D278" s="2" t="s">
        <v>17</v>
      </c>
      <c r="E278" s="2" t="s">
        <v>15</v>
      </c>
      <c r="F278" s="2" t="s">
        <v>82</v>
      </c>
      <c r="G278">
        <v>1</v>
      </c>
      <c r="H278" s="2" t="s">
        <v>13</v>
      </c>
      <c r="I278" s="2" t="s">
        <v>90</v>
      </c>
      <c r="J278">
        <v>1</v>
      </c>
      <c r="K278">
        <v>1</v>
      </c>
      <c r="L278">
        <f>correct_ratio_df__3[[#This Row],[available]]-correct_ratio_df__3[[#This Row],[stable]]</f>
        <v>0</v>
      </c>
    </row>
    <row r="279" spans="1:12" x14ac:dyDescent="0.2">
      <c r="A279">
        <v>277</v>
      </c>
      <c r="B279" s="2" t="s">
        <v>78</v>
      </c>
      <c r="C279" s="2" t="s">
        <v>9</v>
      </c>
      <c r="D279" s="2" t="s">
        <v>17</v>
      </c>
      <c r="E279" s="2" t="s">
        <v>21</v>
      </c>
      <c r="F279" s="2" t="s">
        <v>82</v>
      </c>
      <c r="G279">
        <v>1</v>
      </c>
      <c r="H279" s="2" t="s">
        <v>13</v>
      </c>
      <c r="I279" s="2" t="s">
        <v>90</v>
      </c>
      <c r="J279">
        <v>1</v>
      </c>
      <c r="K279">
        <v>1</v>
      </c>
      <c r="L279">
        <f>correct_ratio_df__3[[#This Row],[available]]-correct_ratio_df__3[[#This Row],[stable]]</f>
        <v>0</v>
      </c>
    </row>
    <row r="280" spans="1:12" x14ac:dyDescent="0.2">
      <c r="A280">
        <v>278</v>
      </c>
      <c r="B280" s="2" t="s">
        <v>79</v>
      </c>
      <c r="C280" s="2" t="s">
        <v>14</v>
      </c>
      <c r="D280" s="2" t="s">
        <v>17</v>
      </c>
      <c r="E280" s="2" t="s">
        <v>11</v>
      </c>
      <c r="F280" s="2" t="s">
        <v>82</v>
      </c>
      <c r="G280">
        <v>1</v>
      </c>
      <c r="H280" s="2" t="s">
        <v>13</v>
      </c>
      <c r="I280" s="2" t="s">
        <v>90</v>
      </c>
      <c r="J280">
        <v>1</v>
      </c>
      <c r="K280">
        <v>1</v>
      </c>
      <c r="L280">
        <f>correct_ratio_df__3[[#This Row],[available]]-correct_ratio_df__3[[#This Row],[stable]]</f>
        <v>0</v>
      </c>
    </row>
    <row r="281" spans="1:12" x14ac:dyDescent="0.2">
      <c r="A281">
        <v>279</v>
      </c>
      <c r="B281" s="2" t="s">
        <v>80</v>
      </c>
      <c r="C281" s="2" t="s">
        <v>22</v>
      </c>
      <c r="D281" s="2" t="s">
        <v>20</v>
      </c>
      <c r="E281" s="2" t="s">
        <v>11</v>
      </c>
      <c r="F281" s="2" t="s">
        <v>82</v>
      </c>
      <c r="G281">
        <v>0</v>
      </c>
      <c r="H281" s="2" t="s">
        <v>13</v>
      </c>
      <c r="I281" s="2" t="s">
        <v>90</v>
      </c>
      <c r="J281">
        <v>0</v>
      </c>
      <c r="K281">
        <v>0</v>
      </c>
      <c r="L281">
        <f>correct_ratio_df__3[[#This Row],[available]]-correct_ratio_df__3[[#This Row],[stable]]</f>
        <v>0</v>
      </c>
    </row>
    <row r="282" spans="1:12" x14ac:dyDescent="0.2">
      <c r="A282">
        <v>280</v>
      </c>
      <c r="B282" s="2" t="s">
        <v>41</v>
      </c>
      <c r="C282" s="2" t="s">
        <v>9</v>
      </c>
      <c r="D282" s="2" t="s">
        <v>10</v>
      </c>
      <c r="E282" s="2" t="s">
        <v>11</v>
      </c>
      <c r="F282" s="2" t="s">
        <v>28</v>
      </c>
      <c r="G282">
        <v>1</v>
      </c>
      <c r="H282" s="2" t="s">
        <v>24</v>
      </c>
      <c r="I282" s="2" t="s">
        <v>87</v>
      </c>
      <c r="J282">
        <v>1</v>
      </c>
      <c r="K282">
        <v>1</v>
      </c>
      <c r="L282">
        <f>correct_ratio_df__3[[#This Row],[available]]-correct_ratio_df__3[[#This Row],[stable]]</f>
        <v>0</v>
      </c>
    </row>
    <row r="283" spans="1:12" x14ac:dyDescent="0.2">
      <c r="A283">
        <v>281</v>
      </c>
      <c r="B283" s="2" t="s">
        <v>42</v>
      </c>
      <c r="C283" s="2" t="s">
        <v>14</v>
      </c>
      <c r="D283" s="2" t="s">
        <v>10</v>
      </c>
      <c r="E283" s="2" t="s">
        <v>15</v>
      </c>
      <c r="F283" s="2" t="s">
        <v>28</v>
      </c>
      <c r="G283">
        <v>1</v>
      </c>
      <c r="H283" s="2" t="s">
        <v>24</v>
      </c>
      <c r="I283" s="2" t="s">
        <v>87</v>
      </c>
      <c r="J283">
        <v>1</v>
      </c>
      <c r="K283">
        <v>1</v>
      </c>
      <c r="L283">
        <f>correct_ratio_df__3[[#This Row],[available]]-correct_ratio_df__3[[#This Row],[stable]]</f>
        <v>0</v>
      </c>
    </row>
    <row r="284" spans="1:12" x14ac:dyDescent="0.2">
      <c r="A284">
        <v>282</v>
      </c>
      <c r="B284" s="2" t="s">
        <v>43</v>
      </c>
      <c r="C284" s="2" t="s">
        <v>16</v>
      </c>
      <c r="D284" s="2" t="s">
        <v>17</v>
      </c>
      <c r="E284" s="2" t="s">
        <v>11</v>
      </c>
      <c r="F284" s="2" t="s">
        <v>28</v>
      </c>
      <c r="G284">
        <v>1</v>
      </c>
      <c r="H284" s="2" t="s">
        <v>24</v>
      </c>
      <c r="I284" s="2" t="s">
        <v>87</v>
      </c>
      <c r="J284">
        <v>1</v>
      </c>
      <c r="K284">
        <v>1</v>
      </c>
      <c r="L284">
        <f>correct_ratio_df__3[[#This Row],[available]]-correct_ratio_df__3[[#This Row],[stable]]</f>
        <v>0</v>
      </c>
    </row>
    <row r="285" spans="1:12" x14ac:dyDescent="0.2">
      <c r="A285">
        <v>283</v>
      </c>
      <c r="B285" s="2" t="s">
        <v>44</v>
      </c>
      <c r="C285" s="2" t="s">
        <v>16</v>
      </c>
      <c r="D285" s="2" t="s">
        <v>10</v>
      </c>
      <c r="E285" s="2" t="s">
        <v>15</v>
      </c>
      <c r="F285" s="2" t="s">
        <v>28</v>
      </c>
      <c r="G285">
        <v>0.33333333333333331</v>
      </c>
      <c r="H285" s="2" t="s">
        <v>24</v>
      </c>
      <c r="I285" s="2" t="s">
        <v>87</v>
      </c>
      <c r="J285">
        <v>1</v>
      </c>
      <c r="K285">
        <v>0</v>
      </c>
      <c r="L285">
        <f>correct_ratio_df__3[[#This Row],[available]]-correct_ratio_df__3[[#This Row],[stable]]</f>
        <v>1</v>
      </c>
    </row>
    <row r="286" spans="1:12" x14ac:dyDescent="0.2">
      <c r="A286">
        <v>284</v>
      </c>
      <c r="B286" s="2" t="s">
        <v>45</v>
      </c>
      <c r="C286" s="2" t="s">
        <v>14</v>
      </c>
      <c r="D286" s="2" t="s">
        <v>18</v>
      </c>
      <c r="E286" s="2" t="s">
        <v>15</v>
      </c>
      <c r="F286" s="2" t="s">
        <v>28</v>
      </c>
      <c r="G286">
        <v>1</v>
      </c>
      <c r="H286" s="2" t="s">
        <v>24</v>
      </c>
      <c r="I286" s="2" t="s">
        <v>87</v>
      </c>
      <c r="J286">
        <v>1</v>
      </c>
      <c r="K286">
        <v>1</v>
      </c>
      <c r="L286">
        <f>correct_ratio_df__3[[#This Row],[available]]-correct_ratio_df__3[[#This Row],[stable]]</f>
        <v>0</v>
      </c>
    </row>
    <row r="287" spans="1:12" x14ac:dyDescent="0.2">
      <c r="A287">
        <v>285</v>
      </c>
      <c r="B287" s="2" t="s">
        <v>46</v>
      </c>
      <c r="C287" s="2" t="s">
        <v>14</v>
      </c>
      <c r="D287" s="2" t="s">
        <v>10</v>
      </c>
      <c r="E287" s="2" t="s">
        <v>15</v>
      </c>
      <c r="F287" s="2" t="s">
        <v>28</v>
      </c>
      <c r="G287">
        <v>1</v>
      </c>
      <c r="H287" s="2" t="s">
        <v>24</v>
      </c>
      <c r="I287" s="2" t="s">
        <v>87</v>
      </c>
      <c r="J287">
        <v>1</v>
      </c>
      <c r="K287">
        <v>1</v>
      </c>
      <c r="L287">
        <f>correct_ratio_df__3[[#This Row],[available]]-correct_ratio_df__3[[#This Row],[stable]]</f>
        <v>0</v>
      </c>
    </row>
    <row r="288" spans="1:12" x14ac:dyDescent="0.2">
      <c r="A288">
        <v>286</v>
      </c>
      <c r="B288" s="2" t="s">
        <v>47</v>
      </c>
      <c r="C288" s="2" t="s">
        <v>19</v>
      </c>
      <c r="D288" s="2" t="s">
        <v>10</v>
      </c>
      <c r="E288" s="2" t="s">
        <v>15</v>
      </c>
      <c r="F288" s="2" t="s">
        <v>28</v>
      </c>
      <c r="G288">
        <v>1</v>
      </c>
      <c r="H288" s="2" t="s">
        <v>24</v>
      </c>
      <c r="I288" s="2" t="s">
        <v>87</v>
      </c>
      <c r="J288">
        <v>1</v>
      </c>
      <c r="K288">
        <v>1</v>
      </c>
      <c r="L288">
        <f>correct_ratio_df__3[[#This Row],[available]]-correct_ratio_df__3[[#This Row],[stable]]</f>
        <v>0</v>
      </c>
    </row>
    <row r="289" spans="1:12" x14ac:dyDescent="0.2">
      <c r="A289">
        <v>287</v>
      </c>
      <c r="B289" s="2" t="s">
        <v>48</v>
      </c>
      <c r="C289" s="2" t="s">
        <v>16</v>
      </c>
      <c r="D289" s="2" t="s">
        <v>20</v>
      </c>
      <c r="E289" s="2" t="s">
        <v>21</v>
      </c>
      <c r="F289" s="2" t="s">
        <v>28</v>
      </c>
      <c r="G289">
        <v>1</v>
      </c>
      <c r="H289" s="2" t="s">
        <v>24</v>
      </c>
      <c r="I289" s="2" t="s">
        <v>87</v>
      </c>
      <c r="J289">
        <v>1</v>
      </c>
      <c r="K289">
        <v>1</v>
      </c>
      <c r="L289">
        <f>correct_ratio_df__3[[#This Row],[available]]-correct_ratio_df__3[[#This Row],[stable]]</f>
        <v>0</v>
      </c>
    </row>
    <row r="290" spans="1:12" x14ac:dyDescent="0.2">
      <c r="A290">
        <v>288</v>
      </c>
      <c r="B290" s="2" t="s">
        <v>49</v>
      </c>
      <c r="C290" s="2" t="s">
        <v>16</v>
      </c>
      <c r="D290" s="2" t="s">
        <v>10</v>
      </c>
      <c r="E290" s="2" t="s">
        <v>21</v>
      </c>
      <c r="F290" s="2" t="s">
        <v>28</v>
      </c>
      <c r="G290">
        <v>1</v>
      </c>
      <c r="H290" s="2" t="s">
        <v>24</v>
      </c>
      <c r="I290" s="2" t="s">
        <v>87</v>
      </c>
      <c r="J290">
        <v>1</v>
      </c>
      <c r="K290">
        <v>1</v>
      </c>
      <c r="L290">
        <f>correct_ratio_df__3[[#This Row],[available]]-correct_ratio_df__3[[#This Row],[stable]]</f>
        <v>0</v>
      </c>
    </row>
    <row r="291" spans="1:12" x14ac:dyDescent="0.2">
      <c r="A291">
        <v>289</v>
      </c>
      <c r="B291" s="2" t="s">
        <v>50</v>
      </c>
      <c r="C291" s="2" t="s">
        <v>9</v>
      </c>
      <c r="D291" s="2" t="s">
        <v>17</v>
      </c>
      <c r="E291" s="2" t="s">
        <v>21</v>
      </c>
      <c r="F291" s="2" t="s">
        <v>28</v>
      </c>
      <c r="G291">
        <v>1</v>
      </c>
      <c r="H291" s="2" t="s">
        <v>24</v>
      </c>
      <c r="I291" s="2" t="s">
        <v>87</v>
      </c>
      <c r="J291">
        <v>1</v>
      </c>
      <c r="K291">
        <v>1</v>
      </c>
      <c r="L291">
        <f>correct_ratio_df__3[[#This Row],[available]]-correct_ratio_df__3[[#This Row],[stable]]</f>
        <v>0</v>
      </c>
    </row>
    <row r="292" spans="1:12" x14ac:dyDescent="0.2">
      <c r="A292">
        <v>290</v>
      </c>
      <c r="B292" s="2" t="s">
        <v>51</v>
      </c>
      <c r="C292" s="2" t="s">
        <v>16</v>
      </c>
      <c r="D292" s="2" t="s">
        <v>17</v>
      </c>
      <c r="E292" s="2" t="s">
        <v>11</v>
      </c>
      <c r="F292" s="2" t="s">
        <v>28</v>
      </c>
      <c r="G292">
        <v>1</v>
      </c>
      <c r="H292" s="2" t="s">
        <v>24</v>
      </c>
      <c r="I292" s="2" t="s">
        <v>87</v>
      </c>
      <c r="J292">
        <v>1</v>
      </c>
      <c r="K292">
        <v>1</v>
      </c>
      <c r="L292">
        <f>correct_ratio_df__3[[#This Row],[available]]-correct_ratio_df__3[[#This Row],[stable]]</f>
        <v>0</v>
      </c>
    </row>
    <row r="293" spans="1:12" x14ac:dyDescent="0.2">
      <c r="A293">
        <v>291</v>
      </c>
      <c r="B293" s="2" t="s">
        <v>52</v>
      </c>
      <c r="C293" s="2" t="s">
        <v>9</v>
      </c>
      <c r="D293" s="2" t="s">
        <v>17</v>
      </c>
      <c r="E293" s="2" t="s">
        <v>15</v>
      </c>
      <c r="F293" s="2" t="s">
        <v>28</v>
      </c>
      <c r="G293">
        <v>1</v>
      </c>
      <c r="H293" s="2" t="s">
        <v>24</v>
      </c>
      <c r="I293" s="2" t="s">
        <v>87</v>
      </c>
      <c r="J293">
        <v>1</v>
      </c>
      <c r="K293">
        <v>1</v>
      </c>
      <c r="L293">
        <f>correct_ratio_df__3[[#This Row],[available]]-correct_ratio_df__3[[#This Row],[stable]]</f>
        <v>0</v>
      </c>
    </row>
    <row r="294" spans="1:12" x14ac:dyDescent="0.2">
      <c r="A294">
        <v>292</v>
      </c>
      <c r="B294" s="2" t="s">
        <v>53</v>
      </c>
      <c r="C294" s="2" t="s">
        <v>19</v>
      </c>
      <c r="D294" s="2" t="s">
        <v>17</v>
      </c>
      <c r="E294" s="2" t="s">
        <v>21</v>
      </c>
      <c r="F294" s="2" t="s">
        <v>28</v>
      </c>
      <c r="G294">
        <v>0.66666666666666663</v>
      </c>
      <c r="H294" s="2" t="s">
        <v>24</v>
      </c>
      <c r="I294" s="2" t="s">
        <v>87</v>
      </c>
      <c r="J294">
        <v>1</v>
      </c>
      <c r="K294">
        <v>0</v>
      </c>
      <c r="L294">
        <f>correct_ratio_df__3[[#This Row],[available]]-correct_ratio_df__3[[#This Row],[stable]]</f>
        <v>1</v>
      </c>
    </row>
    <row r="295" spans="1:12" x14ac:dyDescent="0.2">
      <c r="A295">
        <v>293</v>
      </c>
      <c r="B295" s="2" t="s">
        <v>54</v>
      </c>
      <c r="C295" s="2" t="s">
        <v>14</v>
      </c>
      <c r="D295" s="2" t="s">
        <v>17</v>
      </c>
      <c r="E295" s="2" t="s">
        <v>15</v>
      </c>
      <c r="F295" s="2" t="s">
        <v>28</v>
      </c>
      <c r="G295">
        <v>1</v>
      </c>
      <c r="H295" s="2" t="s">
        <v>24</v>
      </c>
      <c r="I295" s="2" t="s">
        <v>87</v>
      </c>
      <c r="J295">
        <v>1</v>
      </c>
      <c r="K295">
        <v>1</v>
      </c>
      <c r="L295">
        <f>correct_ratio_df__3[[#This Row],[available]]-correct_ratio_df__3[[#This Row],[stable]]</f>
        <v>0</v>
      </c>
    </row>
    <row r="296" spans="1:12" x14ac:dyDescent="0.2">
      <c r="A296">
        <v>294</v>
      </c>
      <c r="B296" s="2" t="s">
        <v>55</v>
      </c>
      <c r="C296" s="2" t="s">
        <v>9</v>
      </c>
      <c r="D296" s="2" t="s">
        <v>18</v>
      </c>
      <c r="E296" s="2" t="s">
        <v>21</v>
      </c>
      <c r="F296" s="2" t="s">
        <v>28</v>
      </c>
      <c r="G296">
        <v>1</v>
      </c>
      <c r="H296" s="2" t="s">
        <v>24</v>
      </c>
      <c r="I296" s="2" t="s">
        <v>87</v>
      </c>
      <c r="J296">
        <v>1</v>
      </c>
      <c r="K296">
        <v>1</v>
      </c>
      <c r="L296">
        <f>correct_ratio_df__3[[#This Row],[available]]-correct_ratio_df__3[[#This Row],[stable]]</f>
        <v>0</v>
      </c>
    </row>
    <row r="297" spans="1:12" x14ac:dyDescent="0.2">
      <c r="A297">
        <v>295</v>
      </c>
      <c r="B297" s="2" t="s">
        <v>56</v>
      </c>
      <c r="C297" s="2" t="s">
        <v>19</v>
      </c>
      <c r="D297" s="2" t="s">
        <v>17</v>
      </c>
      <c r="E297" s="2" t="s">
        <v>21</v>
      </c>
      <c r="F297" s="2" t="s">
        <v>28</v>
      </c>
      <c r="G297">
        <v>0</v>
      </c>
      <c r="H297" s="2" t="s">
        <v>24</v>
      </c>
      <c r="I297" s="2" t="s">
        <v>87</v>
      </c>
      <c r="J297">
        <v>0</v>
      </c>
      <c r="K297">
        <v>0</v>
      </c>
      <c r="L297">
        <f>correct_ratio_df__3[[#This Row],[available]]-correct_ratio_df__3[[#This Row],[stable]]</f>
        <v>0</v>
      </c>
    </row>
    <row r="298" spans="1:12" x14ac:dyDescent="0.2">
      <c r="A298">
        <v>296</v>
      </c>
      <c r="B298" s="2" t="s">
        <v>57</v>
      </c>
      <c r="C298" s="2" t="s">
        <v>9</v>
      </c>
      <c r="D298" s="2" t="s">
        <v>17</v>
      </c>
      <c r="E298" s="2" t="s">
        <v>21</v>
      </c>
      <c r="F298" s="2" t="s">
        <v>28</v>
      </c>
      <c r="G298">
        <v>1</v>
      </c>
      <c r="H298" s="2" t="s">
        <v>24</v>
      </c>
      <c r="I298" s="2" t="s">
        <v>87</v>
      </c>
      <c r="J298">
        <v>1</v>
      </c>
      <c r="K298">
        <v>1</v>
      </c>
      <c r="L298">
        <f>correct_ratio_df__3[[#This Row],[available]]-correct_ratio_df__3[[#This Row],[stable]]</f>
        <v>0</v>
      </c>
    </row>
    <row r="299" spans="1:12" x14ac:dyDescent="0.2">
      <c r="A299">
        <v>297</v>
      </c>
      <c r="B299" s="2" t="s">
        <v>58</v>
      </c>
      <c r="C299" s="2" t="s">
        <v>9</v>
      </c>
      <c r="D299" s="2" t="s">
        <v>17</v>
      </c>
      <c r="E299" s="2" t="s">
        <v>21</v>
      </c>
      <c r="F299" s="2" t="s">
        <v>28</v>
      </c>
      <c r="G299">
        <v>0.66666666666666663</v>
      </c>
      <c r="H299" s="2" t="s">
        <v>24</v>
      </c>
      <c r="I299" s="2" t="s">
        <v>87</v>
      </c>
      <c r="J299">
        <v>1</v>
      </c>
      <c r="K299">
        <v>0</v>
      </c>
      <c r="L299">
        <f>correct_ratio_df__3[[#This Row],[available]]-correct_ratio_df__3[[#This Row],[stable]]</f>
        <v>1</v>
      </c>
    </row>
    <row r="300" spans="1:12" x14ac:dyDescent="0.2">
      <c r="A300">
        <v>298</v>
      </c>
      <c r="B300" s="2" t="s">
        <v>59</v>
      </c>
      <c r="C300" s="2" t="s">
        <v>19</v>
      </c>
      <c r="D300" s="2" t="s">
        <v>17</v>
      </c>
      <c r="E300" s="2" t="s">
        <v>15</v>
      </c>
      <c r="F300" s="2" t="s">
        <v>28</v>
      </c>
      <c r="G300">
        <v>1</v>
      </c>
      <c r="H300" s="2" t="s">
        <v>24</v>
      </c>
      <c r="I300" s="2" t="s">
        <v>87</v>
      </c>
      <c r="J300">
        <v>1</v>
      </c>
      <c r="K300">
        <v>1</v>
      </c>
      <c r="L300">
        <f>correct_ratio_df__3[[#This Row],[available]]-correct_ratio_df__3[[#This Row],[stable]]</f>
        <v>0</v>
      </c>
    </row>
    <row r="301" spans="1:12" x14ac:dyDescent="0.2">
      <c r="A301">
        <v>299</v>
      </c>
      <c r="B301" s="2" t="s">
        <v>60</v>
      </c>
      <c r="C301" s="2" t="s">
        <v>9</v>
      </c>
      <c r="D301" s="2" t="s">
        <v>17</v>
      </c>
      <c r="E301" s="2" t="s">
        <v>21</v>
      </c>
      <c r="F301" s="2" t="s">
        <v>28</v>
      </c>
      <c r="G301">
        <v>0</v>
      </c>
      <c r="H301" s="2" t="s">
        <v>24</v>
      </c>
      <c r="I301" s="2" t="s">
        <v>87</v>
      </c>
      <c r="J301">
        <v>0</v>
      </c>
      <c r="K301">
        <v>0</v>
      </c>
      <c r="L301">
        <f>correct_ratio_df__3[[#This Row],[available]]-correct_ratio_df__3[[#This Row],[stable]]</f>
        <v>0</v>
      </c>
    </row>
    <row r="302" spans="1:12" x14ac:dyDescent="0.2">
      <c r="A302">
        <v>300</v>
      </c>
      <c r="B302" s="2" t="s">
        <v>61</v>
      </c>
      <c r="C302" s="2" t="s">
        <v>14</v>
      </c>
      <c r="D302" s="2" t="s">
        <v>10</v>
      </c>
      <c r="E302" s="2" t="s">
        <v>11</v>
      </c>
      <c r="F302" s="2" t="s">
        <v>28</v>
      </c>
      <c r="G302">
        <v>1</v>
      </c>
      <c r="H302" s="2" t="s">
        <v>24</v>
      </c>
      <c r="I302" s="2" t="s">
        <v>87</v>
      </c>
      <c r="J302">
        <v>1</v>
      </c>
      <c r="K302">
        <v>1</v>
      </c>
      <c r="L302">
        <f>correct_ratio_df__3[[#This Row],[available]]-correct_ratio_df__3[[#This Row],[stable]]</f>
        <v>0</v>
      </c>
    </row>
    <row r="303" spans="1:12" x14ac:dyDescent="0.2">
      <c r="A303">
        <v>301</v>
      </c>
      <c r="B303" s="2" t="s">
        <v>62</v>
      </c>
      <c r="C303" s="2" t="s">
        <v>16</v>
      </c>
      <c r="D303" s="2" t="s">
        <v>18</v>
      </c>
      <c r="E303" s="2" t="s">
        <v>11</v>
      </c>
      <c r="F303" s="2" t="s">
        <v>28</v>
      </c>
      <c r="G303">
        <v>1</v>
      </c>
      <c r="H303" s="2" t="s">
        <v>24</v>
      </c>
      <c r="I303" s="2" t="s">
        <v>87</v>
      </c>
      <c r="J303">
        <v>1</v>
      </c>
      <c r="K303">
        <v>1</v>
      </c>
      <c r="L303">
        <f>correct_ratio_df__3[[#This Row],[available]]-correct_ratio_df__3[[#This Row],[stable]]</f>
        <v>0</v>
      </c>
    </row>
    <row r="304" spans="1:12" x14ac:dyDescent="0.2">
      <c r="A304">
        <v>302</v>
      </c>
      <c r="B304" s="2" t="s">
        <v>63</v>
      </c>
      <c r="C304" s="2" t="s">
        <v>9</v>
      </c>
      <c r="D304" s="2" t="s">
        <v>20</v>
      </c>
      <c r="E304" s="2" t="s">
        <v>15</v>
      </c>
      <c r="F304" s="2" t="s">
        <v>28</v>
      </c>
      <c r="G304">
        <v>0.66666666666666663</v>
      </c>
      <c r="H304" s="2" t="s">
        <v>24</v>
      </c>
      <c r="I304" s="2" t="s">
        <v>87</v>
      </c>
      <c r="J304">
        <v>1</v>
      </c>
      <c r="K304">
        <v>0</v>
      </c>
      <c r="L304">
        <f>correct_ratio_df__3[[#This Row],[available]]-correct_ratio_df__3[[#This Row],[stable]]</f>
        <v>1</v>
      </c>
    </row>
    <row r="305" spans="1:12" x14ac:dyDescent="0.2">
      <c r="A305">
        <v>303</v>
      </c>
      <c r="B305" s="2" t="s">
        <v>64</v>
      </c>
      <c r="C305" s="2" t="s">
        <v>14</v>
      </c>
      <c r="D305" s="2" t="s">
        <v>17</v>
      </c>
      <c r="E305" s="2" t="s">
        <v>11</v>
      </c>
      <c r="F305" s="2" t="s">
        <v>28</v>
      </c>
      <c r="G305">
        <v>1</v>
      </c>
      <c r="H305" s="2" t="s">
        <v>24</v>
      </c>
      <c r="I305" s="2" t="s">
        <v>87</v>
      </c>
      <c r="J305">
        <v>1</v>
      </c>
      <c r="K305">
        <v>1</v>
      </c>
      <c r="L305">
        <f>correct_ratio_df__3[[#This Row],[available]]-correct_ratio_df__3[[#This Row],[stable]]</f>
        <v>0</v>
      </c>
    </row>
    <row r="306" spans="1:12" x14ac:dyDescent="0.2">
      <c r="A306">
        <v>304</v>
      </c>
      <c r="B306" s="2" t="s">
        <v>65</v>
      </c>
      <c r="C306" s="2" t="s">
        <v>19</v>
      </c>
      <c r="D306" s="2" t="s">
        <v>18</v>
      </c>
      <c r="E306" s="2" t="s">
        <v>21</v>
      </c>
      <c r="F306" s="2" t="s">
        <v>28</v>
      </c>
      <c r="G306">
        <v>1</v>
      </c>
      <c r="H306" s="2" t="s">
        <v>24</v>
      </c>
      <c r="I306" s="2" t="s">
        <v>87</v>
      </c>
      <c r="J306">
        <v>1</v>
      </c>
      <c r="K306">
        <v>1</v>
      </c>
      <c r="L306">
        <f>correct_ratio_df__3[[#This Row],[available]]-correct_ratio_df__3[[#This Row],[stable]]</f>
        <v>0</v>
      </c>
    </row>
    <row r="307" spans="1:12" x14ac:dyDescent="0.2">
      <c r="A307">
        <v>305</v>
      </c>
      <c r="B307" s="2" t="s">
        <v>66</v>
      </c>
      <c r="C307" s="2" t="s">
        <v>14</v>
      </c>
      <c r="D307" s="2" t="s">
        <v>18</v>
      </c>
      <c r="E307" s="2" t="s">
        <v>15</v>
      </c>
      <c r="F307" s="2" t="s">
        <v>28</v>
      </c>
      <c r="G307">
        <v>1</v>
      </c>
      <c r="H307" s="2" t="s">
        <v>24</v>
      </c>
      <c r="I307" s="2" t="s">
        <v>87</v>
      </c>
      <c r="J307">
        <v>1</v>
      </c>
      <c r="K307">
        <v>1</v>
      </c>
      <c r="L307">
        <f>correct_ratio_df__3[[#This Row],[available]]-correct_ratio_df__3[[#This Row],[stable]]</f>
        <v>0</v>
      </c>
    </row>
    <row r="308" spans="1:12" x14ac:dyDescent="0.2">
      <c r="A308">
        <v>306</v>
      </c>
      <c r="B308" s="2" t="s">
        <v>67</v>
      </c>
      <c r="C308" s="2" t="s">
        <v>9</v>
      </c>
      <c r="D308" s="2" t="s">
        <v>17</v>
      </c>
      <c r="E308" s="2" t="s">
        <v>21</v>
      </c>
      <c r="F308" s="2" t="s">
        <v>28</v>
      </c>
      <c r="G308">
        <v>1</v>
      </c>
      <c r="H308" s="2" t="s">
        <v>24</v>
      </c>
      <c r="I308" s="2" t="s">
        <v>87</v>
      </c>
      <c r="J308">
        <v>1</v>
      </c>
      <c r="K308">
        <v>1</v>
      </c>
      <c r="L308">
        <f>correct_ratio_df__3[[#This Row],[available]]-correct_ratio_df__3[[#This Row],[stable]]</f>
        <v>0</v>
      </c>
    </row>
    <row r="309" spans="1:12" x14ac:dyDescent="0.2">
      <c r="A309">
        <v>307</v>
      </c>
      <c r="B309" s="2" t="s">
        <v>68</v>
      </c>
      <c r="C309" s="2" t="s">
        <v>14</v>
      </c>
      <c r="D309" s="2" t="s">
        <v>17</v>
      </c>
      <c r="E309" s="2" t="s">
        <v>15</v>
      </c>
      <c r="F309" s="2" t="s">
        <v>28</v>
      </c>
      <c r="G309">
        <v>1</v>
      </c>
      <c r="H309" s="2" t="s">
        <v>24</v>
      </c>
      <c r="I309" s="2" t="s">
        <v>87</v>
      </c>
      <c r="J309">
        <v>1</v>
      </c>
      <c r="K309">
        <v>1</v>
      </c>
      <c r="L309">
        <f>correct_ratio_df__3[[#This Row],[available]]-correct_ratio_df__3[[#This Row],[stable]]</f>
        <v>0</v>
      </c>
    </row>
    <row r="310" spans="1:12" x14ac:dyDescent="0.2">
      <c r="A310">
        <v>308</v>
      </c>
      <c r="B310" s="2" t="s">
        <v>69</v>
      </c>
      <c r="C310" s="2" t="s">
        <v>22</v>
      </c>
      <c r="D310" s="2" t="s">
        <v>17</v>
      </c>
      <c r="E310" s="2" t="s">
        <v>11</v>
      </c>
      <c r="F310" s="2" t="s">
        <v>28</v>
      </c>
      <c r="G310">
        <v>1</v>
      </c>
      <c r="H310" s="2" t="s">
        <v>24</v>
      </c>
      <c r="I310" s="2" t="s">
        <v>87</v>
      </c>
      <c r="J310">
        <v>1</v>
      </c>
      <c r="K310">
        <v>1</v>
      </c>
      <c r="L310">
        <f>correct_ratio_df__3[[#This Row],[available]]-correct_ratio_df__3[[#This Row],[stable]]</f>
        <v>0</v>
      </c>
    </row>
    <row r="311" spans="1:12" x14ac:dyDescent="0.2">
      <c r="A311">
        <v>309</v>
      </c>
      <c r="B311" s="2" t="s">
        <v>70</v>
      </c>
      <c r="C311" s="2" t="s">
        <v>9</v>
      </c>
      <c r="D311" s="2" t="s">
        <v>17</v>
      </c>
      <c r="E311" s="2" t="s">
        <v>15</v>
      </c>
      <c r="F311" s="2" t="s">
        <v>28</v>
      </c>
      <c r="G311">
        <v>0.66666666666666663</v>
      </c>
      <c r="H311" s="2" t="s">
        <v>24</v>
      </c>
      <c r="I311" s="2" t="s">
        <v>87</v>
      </c>
      <c r="J311">
        <v>1</v>
      </c>
      <c r="K311">
        <v>0</v>
      </c>
      <c r="L311">
        <f>correct_ratio_df__3[[#This Row],[available]]-correct_ratio_df__3[[#This Row],[stable]]</f>
        <v>1</v>
      </c>
    </row>
    <row r="312" spans="1:12" x14ac:dyDescent="0.2">
      <c r="A312">
        <v>310</v>
      </c>
      <c r="B312" s="2" t="s">
        <v>71</v>
      </c>
      <c r="C312" s="2" t="s">
        <v>9</v>
      </c>
      <c r="D312" s="2" t="s">
        <v>17</v>
      </c>
      <c r="E312" s="2" t="s">
        <v>21</v>
      </c>
      <c r="F312" s="2" t="s">
        <v>28</v>
      </c>
      <c r="G312">
        <v>0</v>
      </c>
      <c r="H312" s="2" t="s">
        <v>24</v>
      </c>
      <c r="I312" s="2" t="s">
        <v>87</v>
      </c>
      <c r="J312">
        <v>0</v>
      </c>
      <c r="K312">
        <v>0</v>
      </c>
      <c r="L312">
        <f>correct_ratio_df__3[[#This Row],[available]]-correct_ratio_df__3[[#This Row],[stable]]</f>
        <v>0</v>
      </c>
    </row>
    <row r="313" spans="1:12" x14ac:dyDescent="0.2">
      <c r="A313">
        <v>311</v>
      </c>
      <c r="B313" s="2" t="s">
        <v>72</v>
      </c>
      <c r="C313" s="2" t="s">
        <v>19</v>
      </c>
      <c r="D313" s="2" t="s">
        <v>17</v>
      </c>
      <c r="E313" s="2" t="s">
        <v>11</v>
      </c>
      <c r="F313" s="2" t="s">
        <v>28</v>
      </c>
      <c r="G313">
        <v>1</v>
      </c>
      <c r="H313" s="2" t="s">
        <v>24</v>
      </c>
      <c r="I313" s="2" t="s">
        <v>87</v>
      </c>
      <c r="J313">
        <v>1</v>
      </c>
      <c r="K313">
        <v>1</v>
      </c>
      <c r="L313">
        <f>correct_ratio_df__3[[#This Row],[available]]-correct_ratio_df__3[[#This Row],[stable]]</f>
        <v>0</v>
      </c>
    </row>
    <row r="314" spans="1:12" x14ac:dyDescent="0.2">
      <c r="A314">
        <v>312</v>
      </c>
      <c r="B314" s="2" t="s">
        <v>73</v>
      </c>
      <c r="C314" s="2" t="s">
        <v>16</v>
      </c>
      <c r="D314" s="2" t="s">
        <v>17</v>
      </c>
      <c r="E314" s="2" t="s">
        <v>11</v>
      </c>
      <c r="F314" s="2" t="s">
        <v>28</v>
      </c>
      <c r="G314">
        <v>1</v>
      </c>
      <c r="H314" s="2" t="s">
        <v>24</v>
      </c>
      <c r="I314" s="2" t="s">
        <v>87</v>
      </c>
      <c r="J314">
        <v>1</v>
      </c>
      <c r="K314">
        <v>1</v>
      </c>
      <c r="L314">
        <f>correct_ratio_df__3[[#This Row],[available]]-correct_ratio_df__3[[#This Row],[stable]]</f>
        <v>0</v>
      </c>
    </row>
    <row r="315" spans="1:12" x14ac:dyDescent="0.2">
      <c r="A315">
        <v>313</v>
      </c>
      <c r="B315" s="2" t="s">
        <v>74</v>
      </c>
      <c r="C315" s="2" t="s">
        <v>22</v>
      </c>
      <c r="D315" s="2" t="s">
        <v>17</v>
      </c>
      <c r="E315" s="2" t="s">
        <v>21</v>
      </c>
      <c r="F315" s="2" t="s">
        <v>28</v>
      </c>
      <c r="G315">
        <v>1</v>
      </c>
      <c r="H315" s="2" t="s">
        <v>24</v>
      </c>
      <c r="I315" s="2" t="s">
        <v>87</v>
      </c>
      <c r="J315">
        <v>1</v>
      </c>
      <c r="K315">
        <v>1</v>
      </c>
      <c r="L315">
        <f>correct_ratio_df__3[[#This Row],[available]]-correct_ratio_df__3[[#This Row],[stable]]</f>
        <v>0</v>
      </c>
    </row>
    <row r="316" spans="1:12" x14ac:dyDescent="0.2">
      <c r="A316">
        <v>314</v>
      </c>
      <c r="B316" s="2" t="s">
        <v>75</v>
      </c>
      <c r="C316" s="2" t="s">
        <v>14</v>
      </c>
      <c r="D316" s="2" t="s">
        <v>17</v>
      </c>
      <c r="E316" s="2" t="s">
        <v>21</v>
      </c>
      <c r="F316" s="2" t="s">
        <v>28</v>
      </c>
      <c r="G316">
        <v>1</v>
      </c>
      <c r="H316" s="2" t="s">
        <v>24</v>
      </c>
      <c r="I316" s="2" t="s">
        <v>87</v>
      </c>
      <c r="J316">
        <v>1</v>
      </c>
      <c r="K316">
        <v>1</v>
      </c>
      <c r="L316">
        <f>correct_ratio_df__3[[#This Row],[available]]-correct_ratio_df__3[[#This Row],[stable]]</f>
        <v>0</v>
      </c>
    </row>
    <row r="317" spans="1:12" x14ac:dyDescent="0.2">
      <c r="A317">
        <v>315</v>
      </c>
      <c r="B317" s="2" t="s">
        <v>76</v>
      </c>
      <c r="C317" s="2" t="s">
        <v>14</v>
      </c>
      <c r="D317" s="2" t="s">
        <v>10</v>
      </c>
      <c r="E317" s="2" t="s">
        <v>21</v>
      </c>
      <c r="F317" s="2" t="s">
        <v>28</v>
      </c>
      <c r="G317">
        <v>1</v>
      </c>
      <c r="H317" s="2" t="s">
        <v>24</v>
      </c>
      <c r="I317" s="2" t="s">
        <v>87</v>
      </c>
      <c r="J317">
        <v>1</v>
      </c>
      <c r="K317">
        <v>1</v>
      </c>
      <c r="L317">
        <f>correct_ratio_df__3[[#This Row],[available]]-correct_ratio_df__3[[#This Row],[stable]]</f>
        <v>0</v>
      </c>
    </row>
    <row r="318" spans="1:12" x14ac:dyDescent="0.2">
      <c r="A318">
        <v>316</v>
      </c>
      <c r="B318" s="2" t="s">
        <v>77</v>
      </c>
      <c r="C318" s="2" t="s">
        <v>9</v>
      </c>
      <c r="D318" s="2" t="s">
        <v>17</v>
      </c>
      <c r="E318" s="2" t="s">
        <v>15</v>
      </c>
      <c r="F318" s="2" t="s">
        <v>28</v>
      </c>
      <c r="G318">
        <v>0</v>
      </c>
      <c r="H318" s="2" t="s">
        <v>24</v>
      </c>
      <c r="I318" s="2" t="s">
        <v>87</v>
      </c>
      <c r="J318">
        <v>0</v>
      </c>
      <c r="K318">
        <v>0</v>
      </c>
      <c r="L318">
        <f>correct_ratio_df__3[[#This Row],[available]]-correct_ratio_df__3[[#This Row],[stable]]</f>
        <v>0</v>
      </c>
    </row>
    <row r="319" spans="1:12" x14ac:dyDescent="0.2">
      <c r="A319">
        <v>317</v>
      </c>
      <c r="B319" s="2" t="s">
        <v>78</v>
      </c>
      <c r="C319" s="2" t="s">
        <v>9</v>
      </c>
      <c r="D319" s="2" t="s">
        <v>17</v>
      </c>
      <c r="E319" s="2" t="s">
        <v>21</v>
      </c>
      <c r="F319" s="2" t="s">
        <v>28</v>
      </c>
      <c r="G319">
        <v>1</v>
      </c>
      <c r="H319" s="2" t="s">
        <v>24</v>
      </c>
      <c r="I319" s="2" t="s">
        <v>87</v>
      </c>
      <c r="J319">
        <v>1</v>
      </c>
      <c r="K319">
        <v>1</v>
      </c>
      <c r="L319">
        <f>correct_ratio_df__3[[#This Row],[available]]-correct_ratio_df__3[[#This Row],[stable]]</f>
        <v>0</v>
      </c>
    </row>
    <row r="320" spans="1:12" x14ac:dyDescent="0.2">
      <c r="A320">
        <v>318</v>
      </c>
      <c r="B320" s="2" t="s">
        <v>79</v>
      </c>
      <c r="C320" s="2" t="s">
        <v>14</v>
      </c>
      <c r="D320" s="2" t="s">
        <v>17</v>
      </c>
      <c r="E320" s="2" t="s">
        <v>11</v>
      </c>
      <c r="F320" s="2" t="s">
        <v>28</v>
      </c>
      <c r="G320">
        <v>1</v>
      </c>
      <c r="H320" s="2" t="s">
        <v>24</v>
      </c>
      <c r="I320" s="2" t="s">
        <v>87</v>
      </c>
      <c r="J320">
        <v>1</v>
      </c>
      <c r="K320">
        <v>1</v>
      </c>
      <c r="L320">
        <f>correct_ratio_df__3[[#This Row],[available]]-correct_ratio_df__3[[#This Row],[stable]]</f>
        <v>0</v>
      </c>
    </row>
    <row r="321" spans="1:12" x14ac:dyDescent="0.2">
      <c r="A321">
        <v>319</v>
      </c>
      <c r="B321" s="2" t="s">
        <v>80</v>
      </c>
      <c r="C321" s="2" t="s">
        <v>22</v>
      </c>
      <c r="D321" s="2" t="s">
        <v>20</v>
      </c>
      <c r="E321" s="2" t="s">
        <v>11</v>
      </c>
      <c r="F321" s="2" t="s">
        <v>28</v>
      </c>
      <c r="G321">
        <v>0</v>
      </c>
      <c r="H321" s="2" t="s">
        <v>24</v>
      </c>
      <c r="I321" s="2" t="s">
        <v>87</v>
      </c>
      <c r="J321">
        <v>0</v>
      </c>
      <c r="K321">
        <v>0</v>
      </c>
      <c r="L321">
        <f>correct_ratio_df__3[[#This Row],[available]]-correct_ratio_df__3[[#This Row],[stable]]</f>
        <v>0</v>
      </c>
    </row>
    <row r="322" spans="1:12" x14ac:dyDescent="0.2">
      <c r="A322">
        <v>320</v>
      </c>
      <c r="B322" s="2" t="s">
        <v>41</v>
      </c>
      <c r="C322" s="2" t="s">
        <v>9</v>
      </c>
      <c r="D322" s="2" t="s">
        <v>10</v>
      </c>
      <c r="E322" s="2" t="s">
        <v>11</v>
      </c>
      <c r="F322" s="2" t="s">
        <v>29</v>
      </c>
      <c r="G322">
        <v>1</v>
      </c>
      <c r="H322" s="2" t="s">
        <v>30</v>
      </c>
      <c r="I322" s="2" t="s">
        <v>86</v>
      </c>
      <c r="J322">
        <v>1</v>
      </c>
      <c r="K322">
        <v>1</v>
      </c>
      <c r="L322">
        <f>correct_ratio_df__3[[#This Row],[available]]-correct_ratio_df__3[[#This Row],[stable]]</f>
        <v>0</v>
      </c>
    </row>
    <row r="323" spans="1:12" x14ac:dyDescent="0.2">
      <c r="A323">
        <v>321</v>
      </c>
      <c r="B323" s="2" t="s">
        <v>42</v>
      </c>
      <c r="C323" s="2" t="s">
        <v>14</v>
      </c>
      <c r="D323" s="2" t="s">
        <v>10</v>
      </c>
      <c r="E323" s="2" t="s">
        <v>15</v>
      </c>
      <c r="F323" s="2" t="s">
        <v>29</v>
      </c>
      <c r="G323">
        <v>1</v>
      </c>
      <c r="H323" s="2" t="s">
        <v>30</v>
      </c>
      <c r="I323" s="2" t="s">
        <v>86</v>
      </c>
      <c r="J323">
        <v>1</v>
      </c>
      <c r="K323">
        <v>1</v>
      </c>
      <c r="L323">
        <f>correct_ratio_df__3[[#This Row],[available]]-correct_ratio_df__3[[#This Row],[stable]]</f>
        <v>0</v>
      </c>
    </row>
    <row r="324" spans="1:12" x14ac:dyDescent="0.2">
      <c r="A324">
        <v>322</v>
      </c>
      <c r="B324" s="2" t="s">
        <v>43</v>
      </c>
      <c r="C324" s="2" t="s">
        <v>16</v>
      </c>
      <c r="D324" s="2" t="s">
        <v>17</v>
      </c>
      <c r="E324" s="2" t="s">
        <v>11</v>
      </c>
      <c r="F324" s="2" t="s">
        <v>29</v>
      </c>
      <c r="G324">
        <v>1</v>
      </c>
      <c r="H324" s="2" t="s">
        <v>30</v>
      </c>
      <c r="I324" s="2" t="s">
        <v>86</v>
      </c>
      <c r="J324">
        <v>1</v>
      </c>
      <c r="K324">
        <v>1</v>
      </c>
      <c r="L324">
        <f>correct_ratio_df__3[[#This Row],[available]]-correct_ratio_df__3[[#This Row],[stable]]</f>
        <v>0</v>
      </c>
    </row>
    <row r="325" spans="1:12" x14ac:dyDescent="0.2">
      <c r="A325">
        <v>323</v>
      </c>
      <c r="B325" s="2" t="s">
        <v>44</v>
      </c>
      <c r="C325" s="2" t="s">
        <v>16</v>
      </c>
      <c r="D325" s="2" t="s">
        <v>10</v>
      </c>
      <c r="E325" s="2" t="s">
        <v>15</v>
      </c>
      <c r="F325" s="2" t="s">
        <v>29</v>
      </c>
      <c r="G325">
        <v>1</v>
      </c>
      <c r="H325" s="2" t="s">
        <v>30</v>
      </c>
      <c r="I325" s="2" t="s">
        <v>86</v>
      </c>
      <c r="J325">
        <v>1</v>
      </c>
      <c r="K325">
        <v>1</v>
      </c>
      <c r="L325">
        <f>correct_ratio_df__3[[#This Row],[available]]-correct_ratio_df__3[[#This Row],[stable]]</f>
        <v>0</v>
      </c>
    </row>
    <row r="326" spans="1:12" x14ac:dyDescent="0.2">
      <c r="A326">
        <v>324</v>
      </c>
      <c r="B326" s="2" t="s">
        <v>45</v>
      </c>
      <c r="C326" s="2" t="s">
        <v>14</v>
      </c>
      <c r="D326" s="2" t="s">
        <v>18</v>
      </c>
      <c r="E326" s="2" t="s">
        <v>15</v>
      </c>
      <c r="F326" s="2" t="s">
        <v>29</v>
      </c>
      <c r="G326">
        <v>0.66666666666666663</v>
      </c>
      <c r="H326" s="2" t="s">
        <v>30</v>
      </c>
      <c r="I326" s="2" t="s">
        <v>86</v>
      </c>
      <c r="J326">
        <v>1</v>
      </c>
      <c r="K326">
        <v>0</v>
      </c>
      <c r="L326">
        <f>correct_ratio_df__3[[#This Row],[available]]-correct_ratio_df__3[[#This Row],[stable]]</f>
        <v>1</v>
      </c>
    </row>
    <row r="327" spans="1:12" x14ac:dyDescent="0.2">
      <c r="A327">
        <v>325</v>
      </c>
      <c r="B327" s="2" t="s">
        <v>46</v>
      </c>
      <c r="C327" s="2" t="s">
        <v>14</v>
      </c>
      <c r="D327" s="2" t="s">
        <v>10</v>
      </c>
      <c r="E327" s="2" t="s">
        <v>15</v>
      </c>
      <c r="F327" s="2" t="s">
        <v>29</v>
      </c>
      <c r="G327">
        <v>1</v>
      </c>
      <c r="H327" s="2" t="s">
        <v>30</v>
      </c>
      <c r="I327" s="2" t="s">
        <v>86</v>
      </c>
      <c r="J327">
        <v>1</v>
      </c>
      <c r="K327">
        <v>1</v>
      </c>
      <c r="L327">
        <f>correct_ratio_df__3[[#This Row],[available]]-correct_ratio_df__3[[#This Row],[stable]]</f>
        <v>0</v>
      </c>
    </row>
    <row r="328" spans="1:12" x14ac:dyDescent="0.2">
      <c r="A328">
        <v>326</v>
      </c>
      <c r="B328" s="2" t="s">
        <v>47</v>
      </c>
      <c r="C328" s="2" t="s">
        <v>19</v>
      </c>
      <c r="D328" s="2" t="s">
        <v>10</v>
      </c>
      <c r="E328" s="2" t="s">
        <v>15</v>
      </c>
      <c r="F328" s="2" t="s">
        <v>29</v>
      </c>
      <c r="G328">
        <v>1</v>
      </c>
      <c r="H328" s="2" t="s">
        <v>30</v>
      </c>
      <c r="I328" s="2" t="s">
        <v>86</v>
      </c>
      <c r="J328">
        <v>1</v>
      </c>
      <c r="K328">
        <v>1</v>
      </c>
      <c r="L328">
        <f>correct_ratio_df__3[[#This Row],[available]]-correct_ratio_df__3[[#This Row],[stable]]</f>
        <v>0</v>
      </c>
    </row>
    <row r="329" spans="1:12" x14ac:dyDescent="0.2">
      <c r="A329">
        <v>327</v>
      </c>
      <c r="B329" s="2" t="s">
        <v>48</v>
      </c>
      <c r="C329" s="2" t="s">
        <v>16</v>
      </c>
      <c r="D329" s="2" t="s">
        <v>20</v>
      </c>
      <c r="E329" s="2" t="s">
        <v>21</v>
      </c>
      <c r="F329" s="2" t="s">
        <v>29</v>
      </c>
      <c r="G329">
        <v>1</v>
      </c>
      <c r="H329" s="2" t="s">
        <v>30</v>
      </c>
      <c r="I329" s="2" t="s">
        <v>86</v>
      </c>
      <c r="J329">
        <v>1</v>
      </c>
      <c r="K329">
        <v>1</v>
      </c>
      <c r="L329">
        <f>correct_ratio_df__3[[#This Row],[available]]-correct_ratio_df__3[[#This Row],[stable]]</f>
        <v>0</v>
      </c>
    </row>
    <row r="330" spans="1:12" x14ac:dyDescent="0.2">
      <c r="A330">
        <v>328</v>
      </c>
      <c r="B330" s="2" t="s">
        <v>49</v>
      </c>
      <c r="C330" s="2" t="s">
        <v>16</v>
      </c>
      <c r="D330" s="2" t="s">
        <v>10</v>
      </c>
      <c r="E330" s="2" t="s">
        <v>21</v>
      </c>
      <c r="F330" s="2" t="s">
        <v>29</v>
      </c>
      <c r="G330">
        <v>1</v>
      </c>
      <c r="H330" s="2" t="s">
        <v>30</v>
      </c>
      <c r="I330" s="2" t="s">
        <v>86</v>
      </c>
      <c r="J330">
        <v>1</v>
      </c>
      <c r="K330">
        <v>1</v>
      </c>
      <c r="L330">
        <f>correct_ratio_df__3[[#This Row],[available]]-correct_ratio_df__3[[#This Row],[stable]]</f>
        <v>0</v>
      </c>
    </row>
    <row r="331" spans="1:12" x14ac:dyDescent="0.2">
      <c r="A331">
        <v>329</v>
      </c>
      <c r="B331" s="2" t="s">
        <v>50</v>
      </c>
      <c r="C331" s="2" t="s">
        <v>9</v>
      </c>
      <c r="D331" s="2" t="s">
        <v>17</v>
      </c>
      <c r="E331" s="2" t="s">
        <v>21</v>
      </c>
      <c r="F331" s="2" t="s">
        <v>29</v>
      </c>
      <c r="G331">
        <v>0</v>
      </c>
      <c r="H331" s="2" t="s">
        <v>30</v>
      </c>
      <c r="I331" s="2" t="s">
        <v>86</v>
      </c>
      <c r="J331">
        <v>0</v>
      </c>
      <c r="K331">
        <v>0</v>
      </c>
      <c r="L331">
        <f>correct_ratio_df__3[[#This Row],[available]]-correct_ratio_df__3[[#This Row],[stable]]</f>
        <v>0</v>
      </c>
    </row>
    <row r="332" spans="1:12" x14ac:dyDescent="0.2">
      <c r="A332">
        <v>330</v>
      </c>
      <c r="B332" s="2" t="s">
        <v>51</v>
      </c>
      <c r="C332" s="2" t="s">
        <v>16</v>
      </c>
      <c r="D332" s="2" t="s">
        <v>17</v>
      </c>
      <c r="E332" s="2" t="s">
        <v>11</v>
      </c>
      <c r="F332" s="2" t="s">
        <v>29</v>
      </c>
      <c r="G332">
        <v>1</v>
      </c>
      <c r="H332" s="2" t="s">
        <v>30</v>
      </c>
      <c r="I332" s="2" t="s">
        <v>86</v>
      </c>
      <c r="J332">
        <v>1</v>
      </c>
      <c r="K332">
        <v>1</v>
      </c>
      <c r="L332">
        <f>correct_ratio_df__3[[#This Row],[available]]-correct_ratio_df__3[[#This Row],[stable]]</f>
        <v>0</v>
      </c>
    </row>
    <row r="333" spans="1:12" x14ac:dyDescent="0.2">
      <c r="A333">
        <v>331</v>
      </c>
      <c r="B333" s="2" t="s">
        <v>52</v>
      </c>
      <c r="C333" s="2" t="s">
        <v>9</v>
      </c>
      <c r="D333" s="2" t="s">
        <v>17</v>
      </c>
      <c r="E333" s="2" t="s">
        <v>15</v>
      </c>
      <c r="F333" s="2" t="s">
        <v>29</v>
      </c>
      <c r="G333">
        <v>1</v>
      </c>
      <c r="H333" s="2" t="s">
        <v>30</v>
      </c>
      <c r="I333" s="2" t="s">
        <v>86</v>
      </c>
      <c r="J333">
        <v>1</v>
      </c>
      <c r="K333">
        <v>1</v>
      </c>
      <c r="L333">
        <f>correct_ratio_df__3[[#This Row],[available]]-correct_ratio_df__3[[#This Row],[stable]]</f>
        <v>0</v>
      </c>
    </row>
    <row r="334" spans="1:12" x14ac:dyDescent="0.2">
      <c r="A334">
        <v>332</v>
      </c>
      <c r="B334" s="2" t="s">
        <v>53</v>
      </c>
      <c r="C334" s="2" t="s">
        <v>19</v>
      </c>
      <c r="D334" s="2" t="s">
        <v>17</v>
      </c>
      <c r="E334" s="2" t="s">
        <v>21</v>
      </c>
      <c r="F334" s="2" t="s">
        <v>29</v>
      </c>
      <c r="G334">
        <v>1</v>
      </c>
      <c r="H334" s="2" t="s">
        <v>30</v>
      </c>
      <c r="I334" s="2" t="s">
        <v>86</v>
      </c>
      <c r="J334">
        <v>1</v>
      </c>
      <c r="K334">
        <v>1</v>
      </c>
      <c r="L334">
        <f>correct_ratio_df__3[[#This Row],[available]]-correct_ratio_df__3[[#This Row],[stable]]</f>
        <v>0</v>
      </c>
    </row>
    <row r="335" spans="1:12" x14ac:dyDescent="0.2">
      <c r="A335">
        <v>333</v>
      </c>
      <c r="B335" s="2" t="s">
        <v>54</v>
      </c>
      <c r="C335" s="2" t="s">
        <v>14</v>
      </c>
      <c r="D335" s="2" t="s">
        <v>17</v>
      </c>
      <c r="E335" s="2" t="s">
        <v>15</v>
      </c>
      <c r="F335" s="2" t="s">
        <v>29</v>
      </c>
      <c r="G335">
        <v>1</v>
      </c>
      <c r="H335" s="2" t="s">
        <v>30</v>
      </c>
      <c r="I335" s="2" t="s">
        <v>86</v>
      </c>
      <c r="J335">
        <v>1</v>
      </c>
      <c r="K335">
        <v>1</v>
      </c>
      <c r="L335">
        <f>correct_ratio_df__3[[#This Row],[available]]-correct_ratio_df__3[[#This Row],[stable]]</f>
        <v>0</v>
      </c>
    </row>
    <row r="336" spans="1:12" x14ac:dyDescent="0.2">
      <c r="A336">
        <v>334</v>
      </c>
      <c r="B336" s="2" t="s">
        <v>55</v>
      </c>
      <c r="C336" s="2" t="s">
        <v>9</v>
      </c>
      <c r="D336" s="2" t="s">
        <v>18</v>
      </c>
      <c r="E336" s="2" t="s">
        <v>21</v>
      </c>
      <c r="F336" s="2" t="s">
        <v>29</v>
      </c>
      <c r="G336">
        <v>1</v>
      </c>
      <c r="H336" s="2" t="s">
        <v>30</v>
      </c>
      <c r="I336" s="2" t="s">
        <v>86</v>
      </c>
      <c r="J336">
        <v>1</v>
      </c>
      <c r="K336">
        <v>1</v>
      </c>
      <c r="L336">
        <f>correct_ratio_df__3[[#This Row],[available]]-correct_ratio_df__3[[#This Row],[stable]]</f>
        <v>0</v>
      </c>
    </row>
    <row r="337" spans="1:12" x14ac:dyDescent="0.2">
      <c r="A337">
        <v>335</v>
      </c>
      <c r="B337" s="2" t="s">
        <v>56</v>
      </c>
      <c r="C337" s="2" t="s">
        <v>19</v>
      </c>
      <c r="D337" s="2" t="s">
        <v>17</v>
      </c>
      <c r="E337" s="2" t="s">
        <v>21</v>
      </c>
      <c r="F337" s="2" t="s">
        <v>29</v>
      </c>
      <c r="G337">
        <v>1</v>
      </c>
      <c r="H337" s="2" t="s">
        <v>30</v>
      </c>
      <c r="I337" s="2" t="s">
        <v>86</v>
      </c>
      <c r="J337">
        <v>1</v>
      </c>
      <c r="K337">
        <v>1</v>
      </c>
      <c r="L337">
        <f>correct_ratio_df__3[[#This Row],[available]]-correct_ratio_df__3[[#This Row],[stable]]</f>
        <v>0</v>
      </c>
    </row>
    <row r="338" spans="1:12" x14ac:dyDescent="0.2">
      <c r="A338">
        <v>336</v>
      </c>
      <c r="B338" s="2" t="s">
        <v>57</v>
      </c>
      <c r="C338" s="2" t="s">
        <v>9</v>
      </c>
      <c r="D338" s="2" t="s">
        <v>17</v>
      </c>
      <c r="E338" s="2" t="s">
        <v>21</v>
      </c>
      <c r="F338" s="2" t="s">
        <v>29</v>
      </c>
      <c r="G338">
        <v>0.66666666666666663</v>
      </c>
      <c r="H338" s="2" t="s">
        <v>30</v>
      </c>
      <c r="I338" s="2" t="s">
        <v>86</v>
      </c>
      <c r="J338">
        <v>1</v>
      </c>
      <c r="K338">
        <v>0</v>
      </c>
      <c r="L338">
        <f>correct_ratio_df__3[[#This Row],[available]]-correct_ratio_df__3[[#This Row],[stable]]</f>
        <v>1</v>
      </c>
    </row>
    <row r="339" spans="1:12" x14ac:dyDescent="0.2">
      <c r="A339">
        <v>337</v>
      </c>
      <c r="B339" s="2" t="s">
        <v>58</v>
      </c>
      <c r="C339" s="2" t="s">
        <v>9</v>
      </c>
      <c r="D339" s="2" t="s">
        <v>17</v>
      </c>
      <c r="E339" s="2" t="s">
        <v>21</v>
      </c>
      <c r="F339" s="2" t="s">
        <v>29</v>
      </c>
      <c r="G339">
        <v>0</v>
      </c>
      <c r="H339" s="2" t="s">
        <v>30</v>
      </c>
      <c r="I339" s="2" t="s">
        <v>86</v>
      </c>
      <c r="J339">
        <v>0</v>
      </c>
      <c r="K339">
        <v>0</v>
      </c>
      <c r="L339">
        <f>correct_ratio_df__3[[#This Row],[available]]-correct_ratio_df__3[[#This Row],[stable]]</f>
        <v>0</v>
      </c>
    </row>
    <row r="340" spans="1:12" x14ac:dyDescent="0.2">
      <c r="A340">
        <v>338</v>
      </c>
      <c r="B340" s="2" t="s">
        <v>59</v>
      </c>
      <c r="C340" s="2" t="s">
        <v>19</v>
      </c>
      <c r="D340" s="2" t="s">
        <v>17</v>
      </c>
      <c r="E340" s="2" t="s">
        <v>15</v>
      </c>
      <c r="F340" s="2" t="s">
        <v>29</v>
      </c>
      <c r="G340">
        <v>1</v>
      </c>
      <c r="H340" s="2" t="s">
        <v>30</v>
      </c>
      <c r="I340" s="2" t="s">
        <v>86</v>
      </c>
      <c r="J340">
        <v>1</v>
      </c>
      <c r="K340">
        <v>1</v>
      </c>
      <c r="L340">
        <f>correct_ratio_df__3[[#This Row],[available]]-correct_ratio_df__3[[#This Row],[stable]]</f>
        <v>0</v>
      </c>
    </row>
    <row r="341" spans="1:12" x14ac:dyDescent="0.2">
      <c r="A341">
        <v>339</v>
      </c>
      <c r="B341" s="2" t="s">
        <v>60</v>
      </c>
      <c r="C341" s="2" t="s">
        <v>9</v>
      </c>
      <c r="D341" s="2" t="s">
        <v>17</v>
      </c>
      <c r="E341" s="2" t="s">
        <v>21</v>
      </c>
      <c r="F341" s="2" t="s">
        <v>29</v>
      </c>
      <c r="G341">
        <v>0</v>
      </c>
      <c r="H341" s="2" t="s">
        <v>30</v>
      </c>
      <c r="I341" s="2" t="s">
        <v>86</v>
      </c>
      <c r="J341">
        <v>0</v>
      </c>
      <c r="K341">
        <v>0</v>
      </c>
      <c r="L341">
        <f>correct_ratio_df__3[[#This Row],[available]]-correct_ratio_df__3[[#This Row],[stable]]</f>
        <v>0</v>
      </c>
    </row>
    <row r="342" spans="1:12" x14ac:dyDescent="0.2">
      <c r="A342">
        <v>340</v>
      </c>
      <c r="B342" s="2" t="s">
        <v>61</v>
      </c>
      <c r="C342" s="2" t="s">
        <v>14</v>
      </c>
      <c r="D342" s="2" t="s">
        <v>10</v>
      </c>
      <c r="E342" s="2" t="s">
        <v>11</v>
      </c>
      <c r="F342" s="2" t="s">
        <v>29</v>
      </c>
      <c r="G342">
        <v>1</v>
      </c>
      <c r="H342" s="2" t="s">
        <v>30</v>
      </c>
      <c r="I342" s="2" t="s">
        <v>86</v>
      </c>
      <c r="J342">
        <v>1</v>
      </c>
      <c r="K342">
        <v>1</v>
      </c>
      <c r="L342">
        <f>correct_ratio_df__3[[#This Row],[available]]-correct_ratio_df__3[[#This Row],[stable]]</f>
        <v>0</v>
      </c>
    </row>
    <row r="343" spans="1:12" x14ac:dyDescent="0.2">
      <c r="A343">
        <v>341</v>
      </c>
      <c r="B343" s="2" t="s">
        <v>62</v>
      </c>
      <c r="C343" s="2" t="s">
        <v>16</v>
      </c>
      <c r="D343" s="2" t="s">
        <v>18</v>
      </c>
      <c r="E343" s="2" t="s">
        <v>11</v>
      </c>
      <c r="F343" s="2" t="s">
        <v>29</v>
      </c>
      <c r="G343">
        <v>1</v>
      </c>
      <c r="H343" s="2" t="s">
        <v>30</v>
      </c>
      <c r="I343" s="2" t="s">
        <v>86</v>
      </c>
      <c r="J343">
        <v>1</v>
      </c>
      <c r="K343">
        <v>1</v>
      </c>
      <c r="L343">
        <f>correct_ratio_df__3[[#This Row],[available]]-correct_ratio_df__3[[#This Row],[stable]]</f>
        <v>0</v>
      </c>
    </row>
    <row r="344" spans="1:12" x14ac:dyDescent="0.2">
      <c r="A344">
        <v>342</v>
      </c>
      <c r="B344" s="2" t="s">
        <v>63</v>
      </c>
      <c r="C344" s="2" t="s">
        <v>9</v>
      </c>
      <c r="D344" s="2" t="s">
        <v>20</v>
      </c>
      <c r="E344" s="2" t="s">
        <v>15</v>
      </c>
      <c r="F344" s="2" t="s">
        <v>29</v>
      </c>
      <c r="G344">
        <v>1</v>
      </c>
      <c r="H344" s="2" t="s">
        <v>30</v>
      </c>
      <c r="I344" s="2" t="s">
        <v>86</v>
      </c>
      <c r="J344">
        <v>1</v>
      </c>
      <c r="K344">
        <v>1</v>
      </c>
      <c r="L344">
        <f>correct_ratio_df__3[[#This Row],[available]]-correct_ratio_df__3[[#This Row],[stable]]</f>
        <v>0</v>
      </c>
    </row>
    <row r="345" spans="1:12" x14ac:dyDescent="0.2">
      <c r="A345">
        <v>343</v>
      </c>
      <c r="B345" s="2" t="s">
        <v>64</v>
      </c>
      <c r="C345" s="2" t="s">
        <v>14</v>
      </c>
      <c r="D345" s="2" t="s">
        <v>17</v>
      </c>
      <c r="E345" s="2" t="s">
        <v>11</v>
      </c>
      <c r="F345" s="2" t="s">
        <v>29</v>
      </c>
      <c r="G345">
        <v>1</v>
      </c>
      <c r="H345" s="2" t="s">
        <v>30</v>
      </c>
      <c r="I345" s="2" t="s">
        <v>86</v>
      </c>
      <c r="J345">
        <v>1</v>
      </c>
      <c r="K345">
        <v>1</v>
      </c>
      <c r="L345">
        <f>correct_ratio_df__3[[#This Row],[available]]-correct_ratio_df__3[[#This Row],[stable]]</f>
        <v>0</v>
      </c>
    </row>
    <row r="346" spans="1:12" x14ac:dyDescent="0.2">
      <c r="A346">
        <v>344</v>
      </c>
      <c r="B346" s="2" t="s">
        <v>65</v>
      </c>
      <c r="C346" s="2" t="s">
        <v>19</v>
      </c>
      <c r="D346" s="2" t="s">
        <v>18</v>
      </c>
      <c r="E346" s="2" t="s">
        <v>21</v>
      </c>
      <c r="F346" s="2" t="s">
        <v>29</v>
      </c>
      <c r="G346">
        <v>1</v>
      </c>
      <c r="H346" s="2" t="s">
        <v>30</v>
      </c>
      <c r="I346" s="2" t="s">
        <v>86</v>
      </c>
      <c r="J346">
        <v>1</v>
      </c>
      <c r="K346">
        <v>1</v>
      </c>
      <c r="L346">
        <f>correct_ratio_df__3[[#This Row],[available]]-correct_ratio_df__3[[#This Row],[stable]]</f>
        <v>0</v>
      </c>
    </row>
    <row r="347" spans="1:12" x14ac:dyDescent="0.2">
      <c r="A347">
        <v>345</v>
      </c>
      <c r="B347" s="2" t="s">
        <v>66</v>
      </c>
      <c r="C347" s="2" t="s">
        <v>14</v>
      </c>
      <c r="D347" s="2" t="s">
        <v>18</v>
      </c>
      <c r="E347" s="2" t="s">
        <v>15</v>
      </c>
      <c r="F347" s="2" t="s">
        <v>29</v>
      </c>
      <c r="G347">
        <v>1</v>
      </c>
      <c r="H347" s="2" t="s">
        <v>30</v>
      </c>
      <c r="I347" s="2" t="s">
        <v>86</v>
      </c>
      <c r="J347">
        <v>1</v>
      </c>
      <c r="K347">
        <v>1</v>
      </c>
      <c r="L347">
        <f>correct_ratio_df__3[[#This Row],[available]]-correct_ratio_df__3[[#This Row],[stable]]</f>
        <v>0</v>
      </c>
    </row>
    <row r="348" spans="1:12" x14ac:dyDescent="0.2">
      <c r="A348">
        <v>346</v>
      </c>
      <c r="B348" s="2" t="s">
        <v>67</v>
      </c>
      <c r="C348" s="2" t="s">
        <v>9</v>
      </c>
      <c r="D348" s="2" t="s">
        <v>17</v>
      </c>
      <c r="E348" s="2" t="s">
        <v>21</v>
      </c>
      <c r="F348" s="2" t="s">
        <v>29</v>
      </c>
      <c r="G348">
        <v>1</v>
      </c>
      <c r="H348" s="2" t="s">
        <v>30</v>
      </c>
      <c r="I348" s="2" t="s">
        <v>86</v>
      </c>
      <c r="J348">
        <v>1</v>
      </c>
      <c r="K348">
        <v>1</v>
      </c>
      <c r="L348">
        <f>correct_ratio_df__3[[#This Row],[available]]-correct_ratio_df__3[[#This Row],[stable]]</f>
        <v>0</v>
      </c>
    </row>
    <row r="349" spans="1:12" x14ac:dyDescent="0.2">
      <c r="A349">
        <v>347</v>
      </c>
      <c r="B349" s="2" t="s">
        <v>68</v>
      </c>
      <c r="C349" s="2" t="s">
        <v>14</v>
      </c>
      <c r="D349" s="2" t="s">
        <v>17</v>
      </c>
      <c r="E349" s="2" t="s">
        <v>15</v>
      </c>
      <c r="F349" s="2" t="s">
        <v>29</v>
      </c>
      <c r="G349">
        <v>1</v>
      </c>
      <c r="H349" s="2" t="s">
        <v>30</v>
      </c>
      <c r="I349" s="2" t="s">
        <v>86</v>
      </c>
      <c r="J349">
        <v>1</v>
      </c>
      <c r="K349">
        <v>1</v>
      </c>
      <c r="L349">
        <f>correct_ratio_df__3[[#This Row],[available]]-correct_ratio_df__3[[#This Row],[stable]]</f>
        <v>0</v>
      </c>
    </row>
    <row r="350" spans="1:12" x14ac:dyDescent="0.2">
      <c r="A350">
        <v>348</v>
      </c>
      <c r="B350" s="2" t="s">
        <v>69</v>
      </c>
      <c r="C350" s="2" t="s">
        <v>22</v>
      </c>
      <c r="D350" s="2" t="s">
        <v>17</v>
      </c>
      <c r="E350" s="2" t="s">
        <v>11</v>
      </c>
      <c r="F350" s="2" t="s">
        <v>29</v>
      </c>
      <c r="G350">
        <v>0.66666666666666663</v>
      </c>
      <c r="H350" s="2" t="s">
        <v>30</v>
      </c>
      <c r="I350" s="2" t="s">
        <v>86</v>
      </c>
      <c r="J350">
        <v>1</v>
      </c>
      <c r="K350">
        <v>0</v>
      </c>
      <c r="L350">
        <f>correct_ratio_df__3[[#This Row],[available]]-correct_ratio_df__3[[#This Row],[stable]]</f>
        <v>1</v>
      </c>
    </row>
    <row r="351" spans="1:12" x14ac:dyDescent="0.2">
      <c r="A351">
        <v>349</v>
      </c>
      <c r="B351" s="2" t="s">
        <v>70</v>
      </c>
      <c r="C351" s="2" t="s">
        <v>9</v>
      </c>
      <c r="D351" s="2" t="s">
        <v>17</v>
      </c>
      <c r="E351" s="2" t="s">
        <v>15</v>
      </c>
      <c r="F351" s="2" t="s">
        <v>29</v>
      </c>
      <c r="G351">
        <v>1</v>
      </c>
      <c r="H351" s="2" t="s">
        <v>30</v>
      </c>
      <c r="I351" s="2" t="s">
        <v>86</v>
      </c>
      <c r="J351">
        <v>1</v>
      </c>
      <c r="K351">
        <v>1</v>
      </c>
      <c r="L351">
        <f>correct_ratio_df__3[[#This Row],[available]]-correct_ratio_df__3[[#This Row],[stable]]</f>
        <v>0</v>
      </c>
    </row>
    <row r="352" spans="1:12" x14ac:dyDescent="0.2">
      <c r="A352">
        <v>350</v>
      </c>
      <c r="B352" s="2" t="s">
        <v>71</v>
      </c>
      <c r="C352" s="2" t="s">
        <v>9</v>
      </c>
      <c r="D352" s="2" t="s">
        <v>17</v>
      </c>
      <c r="E352" s="2" t="s">
        <v>21</v>
      </c>
      <c r="F352" s="2" t="s">
        <v>29</v>
      </c>
      <c r="G352">
        <v>1</v>
      </c>
      <c r="H352" s="2" t="s">
        <v>30</v>
      </c>
      <c r="I352" s="2" t="s">
        <v>86</v>
      </c>
      <c r="J352">
        <v>1</v>
      </c>
      <c r="K352">
        <v>1</v>
      </c>
      <c r="L352">
        <f>correct_ratio_df__3[[#This Row],[available]]-correct_ratio_df__3[[#This Row],[stable]]</f>
        <v>0</v>
      </c>
    </row>
    <row r="353" spans="1:12" x14ac:dyDescent="0.2">
      <c r="A353">
        <v>351</v>
      </c>
      <c r="B353" s="2" t="s">
        <v>72</v>
      </c>
      <c r="C353" s="2" t="s">
        <v>19</v>
      </c>
      <c r="D353" s="2" t="s">
        <v>17</v>
      </c>
      <c r="E353" s="2" t="s">
        <v>11</v>
      </c>
      <c r="F353" s="2" t="s">
        <v>29</v>
      </c>
      <c r="G353">
        <v>1</v>
      </c>
      <c r="H353" s="2" t="s">
        <v>30</v>
      </c>
      <c r="I353" s="2" t="s">
        <v>86</v>
      </c>
      <c r="J353">
        <v>1</v>
      </c>
      <c r="K353">
        <v>1</v>
      </c>
      <c r="L353">
        <f>correct_ratio_df__3[[#This Row],[available]]-correct_ratio_df__3[[#This Row],[stable]]</f>
        <v>0</v>
      </c>
    </row>
    <row r="354" spans="1:12" x14ac:dyDescent="0.2">
      <c r="A354">
        <v>352</v>
      </c>
      <c r="B354" s="2" t="s">
        <v>73</v>
      </c>
      <c r="C354" s="2" t="s">
        <v>16</v>
      </c>
      <c r="D354" s="2" t="s">
        <v>17</v>
      </c>
      <c r="E354" s="2" t="s">
        <v>11</v>
      </c>
      <c r="F354" s="2" t="s">
        <v>29</v>
      </c>
      <c r="G354">
        <v>1</v>
      </c>
      <c r="H354" s="2" t="s">
        <v>30</v>
      </c>
      <c r="I354" s="2" t="s">
        <v>86</v>
      </c>
      <c r="J354">
        <v>1</v>
      </c>
      <c r="K354">
        <v>1</v>
      </c>
      <c r="L354">
        <f>correct_ratio_df__3[[#This Row],[available]]-correct_ratio_df__3[[#This Row],[stable]]</f>
        <v>0</v>
      </c>
    </row>
    <row r="355" spans="1:12" x14ac:dyDescent="0.2">
      <c r="A355">
        <v>353</v>
      </c>
      <c r="B355" s="2" t="s">
        <v>74</v>
      </c>
      <c r="C355" s="2" t="s">
        <v>22</v>
      </c>
      <c r="D355" s="2" t="s">
        <v>17</v>
      </c>
      <c r="E355" s="2" t="s">
        <v>21</v>
      </c>
      <c r="F355" s="2" t="s">
        <v>29</v>
      </c>
      <c r="G355">
        <v>1</v>
      </c>
      <c r="H355" s="2" t="s">
        <v>30</v>
      </c>
      <c r="I355" s="2" t="s">
        <v>86</v>
      </c>
      <c r="J355">
        <v>1</v>
      </c>
      <c r="K355">
        <v>1</v>
      </c>
      <c r="L355">
        <f>correct_ratio_df__3[[#This Row],[available]]-correct_ratio_df__3[[#This Row],[stable]]</f>
        <v>0</v>
      </c>
    </row>
    <row r="356" spans="1:12" x14ac:dyDescent="0.2">
      <c r="A356">
        <v>354</v>
      </c>
      <c r="B356" s="2" t="s">
        <v>75</v>
      </c>
      <c r="C356" s="2" t="s">
        <v>14</v>
      </c>
      <c r="D356" s="2" t="s">
        <v>17</v>
      </c>
      <c r="E356" s="2" t="s">
        <v>21</v>
      </c>
      <c r="F356" s="2" t="s">
        <v>29</v>
      </c>
      <c r="G356">
        <v>1</v>
      </c>
      <c r="H356" s="2" t="s">
        <v>30</v>
      </c>
      <c r="I356" s="2" t="s">
        <v>86</v>
      </c>
      <c r="J356">
        <v>1</v>
      </c>
      <c r="K356">
        <v>1</v>
      </c>
      <c r="L356">
        <f>correct_ratio_df__3[[#This Row],[available]]-correct_ratio_df__3[[#This Row],[stable]]</f>
        <v>0</v>
      </c>
    </row>
    <row r="357" spans="1:12" x14ac:dyDescent="0.2">
      <c r="A357">
        <v>355</v>
      </c>
      <c r="B357" s="2" t="s">
        <v>76</v>
      </c>
      <c r="C357" s="2" t="s">
        <v>14</v>
      </c>
      <c r="D357" s="2" t="s">
        <v>10</v>
      </c>
      <c r="E357" s="2" t="s">
        <v>21</v>
      </c>
      <c r="F357" s="2" t="s">
        <v>29</v>
      </c>
      <c r="G357">
        <v>1</v>
      </c>
      <c r="H357" s="2" t="s">
        <v>30</v>
      </c>
      <c r="I357" s="2" t="s">
        <v>86</v>
      </c>
      <c r="J357">
        <v>1</v>
      </c>
      <c r="K357">
        <v>1</v>
      </c>
      <c r="L357">
        <f>correct_ratio_df__3[[#This Row],[available]]-correct_ratio_df__3[[#This Row],[stable]]</f>
        <v>0</v>
      </c>
    </row>
    <row r="358" spans="1:12" x14ac:dyDescent="0.2">
      <c r="A358">
        <v>356</v>
      </c>
      <c r="B358" s="2" t="s">
        <v>77</v>
      </c>
      <c r="C358" s="2" t="s">
        <v>9</v>
      </c>
      <c r="D358" s="2" t="s">
        <v>17</v>
      </c>
      <c r="E358" s="2" t="s">
        <v>15</v>
      </c>
      <c r="F358" s="2" t="s">
        <v>29</v>
      </c>
      <c r="G358">
        <v>0</v>
      </c>
      <c r="H358" s="2" t="s">
        <v>30</v>
      </c>
      <c r="I358" s="2" t="s">
        <v>86</v>
      </c>
      <c r="J358">
        <v>0</v>
      </c>
      <c r="K358">
        <v>0</v>
      </c>
      <c r="L358">
        <f>correct_ratio_df__3[[#This Row],[available]]-correct_ratio_df__3[[#This Row],[stable]]</f>
        <v>0</v>
      </c>
    </row>
    <row r="359" spans="1:12" x14ac:dyDescent="0.2">
      <c r="A359">
        <v>357</v>
      </c>
      <c r="B359" s="2" t="s">
        <v>78</v>
      </c>
      <c r="C359" s="2" t="s">
        <v>9</v>
      </c>
      <c r="D359" s="2" t="s">
        <v>17</v>
      </c>
      <c r="E359" s="2" t="s">
        <v>21</v>
      </c>
      <c r="F359" s="2" t="s">
        <v>29</v>
      </c>
      <c r="G359">
        <v>1</v>
      </c>
      <c r="H359" s="2" t="s">
        <v>30</v>
      </c>
      <c r="I359" s="2" t="s">
        <v>86</v>
      </c>
      <c r="J359">
        <v>1</v>
      </c>
      <c r="K359">
        <v>1</v>
      </c>
      <c r="L359">
        <f>correct_ratio_df__3[[#This Row],[available]]-correct_ratio_df__3[[#This Row],[stable]]</f>
        <v>0</v>
      </c>
    </row>
    <row r="360" spans="1:12" x14ac:dyDescent="0.2">
      <c r="A360">
        <v>358</v>
      </c>
      <c r="B360" s="2" t="s">
        <v>79</v>
      </c>
      <c r="C360" s="2" t="s">
        <v>14</v>
      </c>
      <c r="D360" s="2" t="s">
        <v>17</v>
      </c>
      <c r="E360" s="2" t="s">
        <v>11</v>
      </c>
      <c r="F360" s="2" t="s">
        <v>29</v>
      </c>
      <c r="G360">
        <v>1</v>
      </c>
      <c r="H360" s="2" t="s">
        <v>30</v>
      </c>
      <c r="I360" s="2" t="s">
        <v>86</v>
      </c>
      <c r="J360">
        <v>1</v>
      </c>
      <c r="K360">
        <v>1</v>
      </c>
      <c r="L360">
        <f>correct_ratio_df__3[[#This Row],[available]]-correct_ratio_df__3[[#This Row],[stable]]</f>
        <v>0</v>
      </c>
    </row>
    <row r="361" spans="1:12" x14ac:dyDescent="0.2">
      <c r="A361">
        <v>359</v>
      </c>
      <c r="B361" s="2" t="s">
        <v>80</v>
      </c>
      <c r="C361" s="2" t="s">
        <v>22</v>
      </c>
      <c r="D361" s="2" t="s">
        <v>20</v>
      </c>
      <c r="E361" s="2" t="s">
        <v>11</v>
      </c>
      <c r="F361" s="2" t="s">
        <v>29</v>
      </c>
      <c r="G361">
        <v>0</v>
      </c>
      <c r="H361" s="2" t="s">
        <v>30</v>
      </c>
      <c r="I361" s="2" t="s">
        <v>86</v>
      </c>
      <c r="J361">
        <v>0</v>
      </c>
      <c r="K361">
        <v>0</v>
      </c>
      <c r="L361">
        <f>correct_ratio_df__3[[#This Row],[available]]-correct_ratio_df__3[[#This Row],[stable]]</f>
        <v>0</v>
      </c>
    </row>
    <row r="362" spans="1:12" x14ac:dyDescent="0.2">
      <c r="A362">
        <v>360</v>
      </c>
      <c r="B362" s="2" t="s">
        <v>41</v>
      </c>
      <c r="C362" s="2" t="s">
        <v>9</v>
      </c>
      <c r="D362" s="2" t="s">
        <v>10</v>
      </c>
      <c r="E362" s="2" t="s">
        <v>11</v>
      </c>
      <c r="F362" s="2" t="s">
        <v>83</v>
      </c>
      <c r="G362">
        <v>0.66666666666666663</v>
      </c>
      <c r="H362" s="2" t="s">
        <v>24</v>
      </c>
      <c r="I362" s="2" t="s">
        <v>90</v>
      </c>
      <c r="J362">
        <v>1</v>
      </c>
      <c r="K362">
        <v>0</v>
      </c>
      <c r="L362">
        <f>correct_ratio_df__3[[#This Row],[available]]-correct_ratio_df__3[[#This Row],[stable]]</f>
        <v>1</v>
      </c>
    </row>
    <row r="363" spans="1:12" x14ac:dyDescent="0.2">
      <c r="A363">
        <v>361</v>
      </c>
      <c r="B363" s="2" t="s">
        <v>42</v>
      </c>
      <c r="C363" s="2" t="s">
        <v>14</v>
      </c>
      <c r="D363" s="2" t="s">
        <v>10</v>
      </c>
      <c r="E363" s="2" t="s">
        <v>15</v>
      </c>
      <c r="F363" s="2" t="s">
        <v>83</v>
      </c>
      <c r="G363">
        <v>1</v>
      </c>
      <c r="H363" s="2" t="s">
        <v>24</v>
      </c>
      <c r="I363" s="2" t="s">
        <v>90</v>
      </c>
      <c r="J363">
        <v>1</v>
      </c>
      <c r="K363">
        <v>1</v>
      </c>
      <c r="L363">
        <f>correct_ratio_df__3[[#This Row],[available]]-correct_ratio_df__3[[#This Row],[stable]]</f>
        <v>0</v>
      </c>
    </row>
    <row r="364" spans="1:12" x14ac:dyDescent="0.2">
      <c r="A364">
        <v>362</v>
      </c>
      <c r="B364" s="2" t="s">
        <v>43</v>
      </c>
      <c r="C364" s="2" t="s">
        <v>16</v>
      </c>
      <c r="D364" s="2" t="s">
        <v>17</v>
      </c>
      <c r="E364" s="2" t="s">
        <v>11</v>
      </c>
      <c r="F364" s="2" t="s">
        <v>83</v>
      </c>
      <c r="G364">
        <v>1</v>
      </c>
      <c r="H364" s="2" t="s">
        <v>24</v>
      </c>
      <c r="I364" s="2" t="s">
        <v>90</v>
      </c>
      <c r="J364">
        <v>1</v>
      </c>
      <c r="K364">
        <v>1</v>
      </c>
      <c r="L364">
        <f>correct_ratio_df__3[[#This Row],[available]]-correct_ratio_df__3[[#This Row],[stable]]</f>
        <v>0</v>
      </c>
    </row>
    <row r="365" spans="1:12" x14ac:dyDescent="0.2">
      <c r="A365">
        <v>363</v>
      </c>
      <c r="B365" s="2" t="s">
        <v>44</v>
      </c>
      <c r="C365" s="2" t="s">
        <v>16</v>
      </c>
      <c r="D365" s="2" t="s">
        <v>10</v>
      </c>
      <c r="E365" s="2" t="s">
        <v>15</v>
      </c>
      <c r="F365" s="2" t="s">
        <v>83</v>
      </c>
      <c r="G365">
        <v>1</v>
      </c>
      <c r="H365" s="2" t="s">
        <v>24</v>
      </c>
      <c r="I365" s="2" t="s">
        <v>90</v>
      </c>
      <c r="J365">
        <v>1</v>
      </c>
      <c r="K365">
        <v>1</v>
      </c>
      <c r="L365">
        <f>correct_ratio_df__3[[#This Row],[available]]-correct_ratio_df__3[[#This Row],[stable]]</f>
        <v>0</v>
      </c>
    </row>
    <row r="366" spans="1:12" x14ac:dyDescent="0.2">
      <c r="A366">
        <v>364</v>
      </c>
      <c r="B366" s="2" t="s">
        <v>45</v>
      </c>
      <c r="C366" s="2" t="s">
        <v>14</v>
      </c>
      <c r="D366" s="2" t="s">
        <v>18</v>
      </c>
      <c r="E366" s="2" t="s">
        <v>15</v>
      </c>
      <c r="F366" s="2" t="s">
        <v>83</v>
      </c>
      <c r="G366">
        <v>1</v>
      </c>
      <c r="H366" s="2" t="s">
        <v>24</v>
      </c>
      <c r="I366" s="2" t="s">
        <v>90</v>
      </c>
      <c r="J366">
        <v>1</v>
      </c>
      <c r="K366">
        <v>1</v>
      </c>
      <c r="L366">
        <f>correct_ratio_df__3[[#This Row],[available]]-correct_ratio_df__3[[#This Row],[stable]]</f>
        <v>0</v>
      </c>
    </row>
    <row r="367" spans="1:12" x14ac:dyDescent="0.2">
      <c r="A367">
        <v>365</v>
      </c>
      <c r="B367" s="2" t="s">
        <v>46</v>
      </c>
      <c r="C367" s="2" t="s">
        <v>14</v>
      </c>
      <c r="D367" s="2" t="s">
        <v>10</v>
      </c>
      <c r="E367" s="2" t="s">
        <v>15</v>
      </c>
      <c r="F367" s="2" t="s">
        <v>83</v>
      </c>
      <c r="G367">
        <v>0</v>
      </c>
      <c r="H367" s="2" t="s">
        <v>24</v>
      </c>
      <c r="I367" s="2" t="s">
        <v>90</v>
      </c>
      <c r="J367">
        <v>0</v>
      </c>
      <c r="K367">
        <v>0</v>
      </c>
      <c r="L367">
        <f>correct_ratio_df__3[[#This Row],[available]]-correct_ratio_df__3[[#This Row],[stable]]</f>
        <v>0</v>
      </c>
    </row>
    <row r="368" spans="1:12" x14ac:dyDescent="0.2">
      <c r="A368">
        <v>366</v>
      </c>
      <c r="B368" s="2" t="s">
        <v>47</v>
      </c>
      <c r="C368" s="2" t="s">
        <v>19</v>
      </c>
      <c r="D368" s="2" t="s">
        <v>10</v>
      </c>
      <c r="E368" s="2" t="s">
        <v>15</v>
      </c>
      <c r="F368" s="2" t="s">
        <v>83</v>
      </c>
      <c r="G368">
        <v>1</v>
      </c>
      <c r="H368" s="2" t="s">
        <v>24</v>
      </c>
      <c r="I368" s="2" t="s">
        <v>90</v>
      </c>
      <c r="J368">
        <v>1</v>
      </c>
      <c r="K368">
        <v>1</v>
      </c>
      <c r="L368">
        <f>correct_ratio_df__3[[#This Row],[available]]-correct_ratio_df__3[[#This Row],[stable]]</f>
        <v>0</v>
      </c>
    </row>
    <row r="369" spans="1:12" x14ac:dyDescent="0.2">
      <c r="A369">
        <v>367</v>
      </c>
      <c r="B369" s="2" t="s">
        <v>48</v>
      </c>
      <c r="C369" s="2" t="s">
        <v>16</v>
      </c>
      <c r="D369" s="2" t="s">
        <v>20</v>
      </c>
      <c r="E369" s="2" t="s">
        <v>21</v>
      </c>
      <c r="F369" s="2" t="s">
        <v>83</v>
      </c>
      <c r="G369">
        <v>1</v>
      </c>
      <c r="H369" s="2" t="s">
        <v>24</v>
      </c>
      <c r="I369" s="2" t="s">
        <v>90</v>
      </c>
      <c r="J369">
        <v>1</v>
      </c>
      <c r="K369">
        <v>1</v>
      </c>
      <c r="L369">
        <f>correct_ratio_df__3[[#This Row],[available]]-correct_ratio_df__3[[#This Row],[stable]]</f>
        <v>0</v>
      </c>
    </row>
    <row r="370" spans="1:12" x14ac:dyDescent="0.2">
      <c r="A370">
        <v>368</v>
      </c>
      <c r="B370" s="2" t="s">
        <v>49</v>
      </c>
      <c r="C370" s="2" t="s">
        <v>16</v>
      </c>
      <c r="D370" s="2" t="s">
        <v>10</v>
      </c>
      <c r="E370" s="2" t="s">
        <v>21</v>
      </c>
      <c r="F370" s="2" t="s">
        <v>83</v>
      </c>
      <c r="G370">
        <v>0.33333333333333331</v>
      </c>
      <c r="H370" s="2" t="s">
        <v>24</v>
      </c>
      <c r="I370" s="2" t="s">
        <v>90</v>
      </c>
      <c r="J370">
        <v>1</v>
      </c>
      <c r="K370">
        <v>0</v>
      </c>
      <c r="L370">
        <f>correct_ratio_df__3[[#This Row],[available]]-correct_ratio_df__3[[#This Row],[stable]]</f>
        <v>1</v>
      </c>
    </row>
    <row r="371" spans="1:12" x14ac:dyDescent="0.2">
      <c r="A371">
        <v>369</v>
      </c>
      <c r="B371" s="2" t="s">
        <v>50</v>
      </c>
      <c r="C371" s="2" t="s">
        <v>9</v>
      </c>
      <c r="D371" s="2" t="s">
        <v>17</v>
      </c>
      <c r="E371" s="2" t="s">
        <v>21</v>
      </c>
      <c r="F371" s="2" t="s">
        <v>83</v>
      </c>
      <c r="G371">
        <v>0.33333333333333331</v>
      </c>
      <c r="H371" s="2" t="s">
        <v>24</v>
      </c>
      <c r="I371" s="2" t="s">
        <v>90</v>
      </c>
      <c r="J371">
        <v>1</v>
      </c>
      <c r="K371">
        <v>0</v>
      </c>
      <c r="L371">
        <f>correct_ratio_df__3[[#This Row],[available]]-correct_ratio_df__3[[#This Row],[stable]]</f>
        <v>1</v>
      </c>
    </row>
    <row r="372" spans="1:12" x14ac:dyDescent="0.2">
      <c r="A372">
        <v>370</v>
      </c>
      <c r="B372" s="2" t="s">
        <v>51</v>
      </c>
      <c r="C372" s="2" t="s">
        <v>16</v>
      </c>
      <c r="D372" s="2" t="s">
        <v>17</v>
      </c>
      <c r="E372" s="2" t="s">
        <v>11</v>
      </c>
      <c r="F372" s="2" t="s">
        <v>83</v>
      </c>
      <c r="G372">
        <v>1</v>
      </c>
      <c r="H372" s="2" t="s">
        <v>24</v>
      </c>
      <c r="I372" s="2" t="s">
        <v>90</v>
      </c>
      <c r="J372">
        <v>1</v>
      </c>
      <c r="K372">
        <v>1</v>
      </c>
      <c r="L372">
        <f>correct_ratio_df__3[[#This Row],[available]]-correct_ratio_df__3[[#This Row],[stable]]</f>
        <v>0</v>
      </c>
    </row>
    <row r="373" spans="1:12" x14ac:dyDescent="0.2">
      <c r="A373">
        <v>371</v>
      </c>
      <c r="B373" s="2" t="s">
        <v>52</v>
      </c>
      <c r="C373" s="2" t="s">
        <v>9</v>
      </c>
      <c r="D373" s="2" t="s">
        <v>17</v>
      </c>
      <c r="E373" s="2" t="s">
        <v>15</v>
      </c>
      <c r="F373" s="2" t="s">
        <v>83</v>
      </c>
      <c r="G373">
        <v>1</v>
      </c>
      <c r="H373" s="2" t="s">
        <v>24</v>
      </c>
      <c r="I373" s="2" t="s">
        <v>90</v>
      </c>
      <c r="J373">
        <v>1</v>
      </c>
      <c r="K373">
        <v>1</v>
      </c>
      <c r="L373">
        <f>correct_ratio_df__3[[#This Row],[available]]-correct_ratio_df__3[[#This Row],[stable]]</f>
        <v>0</v>
      </c>
    </row>
    <row r="374" spans="1:12" x14ac:dyDescent="0.2">
      <c r="A374">
        <v>372</v>
      </c>
      <c r="B374" s="2" t="s">
        <v>53</v>
      </c>
      <c r="C374" s="2" t="s">
        <v>19</v>
      </c>
      <c r="D374" s="2" t="s">
        <v>17</v>
      </c>
      <c r="E374" s="2" t="s">
        <v>21</v>
      </c>
      <c r="F374" s="2" t="s">
        <v>83</v>
      </c>
      <c r="G374">
        <v>1</v>
      </c>
      <c r="H374" s="2" t="s">
        <v>24</v>
      </c>
      <c r="I374" s="2" t="s">
        <v>90</v>
      </c>
      <c r="J374">
        <v>1</v>
      </c>
      <c r="K374">
        <v>1</v>
      </c>
      <c r="L374">
        <f>correct_ratio_df__3[[#This Row],[available]]-correct_ratio_df__3[[#This Row],[stable]]</f>
        <v>0</v>
      </c>
    </row>
    <row r="375" spans="1:12" x14ac:dyDescent="0.2">
      <c r="A375">
        <v>373</v>
      </c>
      <c r="B375" s="2" t="s">
        <v>54</v>
      </c>
      <c r="C375" s="2" t="s">
        <v>14</v>
      </c>
      <c r="D375" s="2" t="s">
        <v>17</v>
      </c>
      <c r="E375" s="2" t="s">
        <v>15</v>
      </c>
      <c r="F375" s="2" t="s">
        <v>83</v>
      </c>
      <c r="G375">
        <v>1</v>
      </c>
      <c r="H375" s="2" t="s">
        <v>24</v>
      </c>
      <c r="I375" s="2" t="s">
        <v>90</v>
      </c>
      <c r="J375">
        <v>1</v>
      </c>
      <c r="K375">
        <v>1</v>
      </c>
      <c r="L375">
        <f>correct_ratio_df__3[[#This Row],[available]]-correct_ratio_df__3[[#This Row],[stable]]</f>
        <v>0</v>
      </c>
    </row>
    <row r="376" spans="1:12" x14ac:dyDescent="0.2">
      <c r="A376">
        <v>374</v>
      </c>
      <c r="B376" s="2" t="s">
        <v>55</v>
      </c>
      <c r="C376" s="2" t="s">
        <v>9</v>
      </c>
      <c r="D376" s="2" t="s">
        <v>18</v>
      </c>
      <c r="E376" s="2" t="s">
        <v>21</v>
      </c>
      <c r="F376" s="2" t="s">
        <v>83</v>
      </c>
      <c r="G376">
        <v>1</v>
      </c>
      <c r="H376" s="2" t="s">
        <v>24</v>
      </c>
      <c r="I376" s="2" t="s">
        <v>90</v>
      </c>
      <c r="J376">
        <v>1</v>
      </c>
      <c r="K376">
        <v>1</v>
      </c>
      <c r="L376">
        <f>correct_ratio_df__3[[#This Row],[available]]-correct_ratio_df__3[[#This Row],[stable]]</f>
        <v>0</v>
      </c>
    </row>
    <row r="377" spans="1:12" x14ac:dyDescent="0.2">
      <c r="A377">
        <v>375</v>
      </c>
      <c r="B377" s="2" t="s">
        <v>56</v>
      </c>
      <c r="C377" s="2" t="s">
        <v>19</v>
      </c>
      <c r="D377" s="2" t="s">
        <v>17</v>
      </c>
      <c r="E377" s="2" t="s">
        <v>21</v>
      </c>
      <c r="F377" s="2" t="s">
        <v>83</v>
      </c>
      <c r="G377">
        <v>1</v>
      </c>
      <c r="H377" s="2" t="s">
        <v>24</v>
      </c>
      <c r="I377" s="2" t="s">
        <v>90</v>
      </c>
      <c r="J377">
        <v>1</v>
      </c>
      <c r="K377">
        <v>1</v>
      </c>
      <c r="L377">
        <f>correct_ratio_df__3[[#This Row],[available]]-correct_ratio_df__3[[#This Row],[stable]]</f>
        <v>0</v>
      </c>
    </row>
    <row r="378" spans="1:12" x14ac:dyDescent="0.2">
      <c r="A378">
        <v>376</v>
      </c>
      <c r="B378" s="2" t="s">
        <v>57</v>
      </c>
      <c r="C378" s="2" t="s">
        <v>9</v>
      </c>
      <c r="D378" s="2" t="s">
        <v>17</v>
      </c>
      <c r="E378" s="2" t="s">
        <v>21</v>
      </c>
      <c r="F378" s="2" t="s">
        <v>83</v>
      </c>
      <c r="G378">
        <v>1</v>
      </c>
      <c r="H378" s="2" t="s">
        <v>24</v>
      </c>
      <c r="I378" s="2" t="s">
        <v>90</v>
      </c>
      <c r="J378">
        <v>1</v>
      </c>
      <c r="K378">
        <v>1</v>
      </c>
      <c r="L378">
        <f>correct_ratio_df__3[[#This Row],[available]]-correct_ratio_df__3[[#This Row],[stable]]</f>
        <v>0</v>
      </c>
    </row>
    <row r="379" spans="1:12" x14ac:dyDescent="0.2">
      <c r="A379">
        <v>377</v>
      </c>
      <c r="B379" s="2" t="s">
        <v>58</v>
      </c>
      <c r="C379" s="2" t="s">
        <v>9</v>
      </c>
      <c r="D379" s="2" t="s">
        <v>17</v>
      </c>
      <c r="E379" s="2" t="s">
        <v>21</v>
      </c>
      <c r="F379" s="2" t="s">
        <v>83</v>
      </c>
      <c r="G379">
        <v>0.66666666666666663</v>
      </c>
      <c r="H379" s="2" t="s">
        <v>24</v>
      </c>
      <c r="I379" s="2" t="s">
        <v>90</v>
      </c>
      <c r="J379">
        <v>1</v>
      </c>
      <c r="K379">
        <v>0</v>
      </c>
      <c r="L379">
        <f>correct_ratio_df__3[[#This Row],[available]]-correct_ratio_df__3[[#This Row],[stable]]</f>
        <v>1</v>
      </c>
    </row>
    <row r="380" spans="1:12" x14ac:dyDescent="0.2">
      <c r="A380">
        <v>378</v>
      </c>
      <c r="B380" s="2" t="s">
        <v>59</v>
      </c>
      <c r="C380" s="2" t="s">
        <v>19</v>
      </c>
      <c r="D380" s="2" t="s">
        <v>17</v>
      </c>
      <c r="E380" s="2" t="s">
        <v>15</v>
      </c>
      <c r="F380" s="2" t="s">
        <v>83</v>
      </c>
      <c r="G380">
        <v>1</v>
      </c>
      <c r="H380" s="2" t="s">
        <v>24</v>
      </c>
      <c r="I380" s="2" t="s">
        <v>90</v>
      </c>
      <c r="J380">
        <v>1</v>
      </c>
      <c r="K380">
        <v>1</v>
      </c>
      <c r="L380">
        <f>correct_ratio_df__3[[#This Row],[available]]-correct_ratio_df__3[[#This Row],[stable]]</f>
        <v>0</v>
      </c>
    </row>
    <row r="381" spans="1:12" x14ac:dyDescent="0.2">
      <c r="A381">
        <v>379</v>
      </c>
      <c r="B381" s="2" t="s">
        <v>60</v>
      </c>
      <c r="C381" s="2" t="s">
        <v>9</v>
      </c>
      <c r="D381" s="2" t="s">
        <v>17</v>
      </c>
      <c r="E381" s="2" t="s">
        <v>21</v>
      </c>
      <c r="F381" s="2" t="s">
        <v>83</v>
      </c>
      <c r="G381">
        <v>0</v>
      </c>
      <c r="H381" s="2" t="s">
        <v>24</v>
      </c>
      <c r="I381" s="2" t="s">
        <v>90</v>
      </c>
      <c r="J381">
        <v>0</v>
      </c>
      <c r="K381">
        <v>0</v>
      </c>
      <c r="L381">
        <f>correct_ratio_df__3[[#This Row],[available]]-correct_ratio_df__3[[#This Row],[stable]]</f>
        <v>0</v>
      </c>
    </row>
    <row r="382" spans="1:12" x14ac:dyDescent="0.2">
      <c r="A382">
        <v>380</v>
      </c>
      <c r="B382" s="2" t="s">
        <v>61</v>
      </c>
      <c r="C382" s="2" t="s">
        <v>14</v>
      </c>
      <c r="D382" s="2" t="s">
        <v>10</v>
      </c>
      <c r="E382" s="2" t="s">
        <v>11</v>
      </c>
      <c r="F382" s="2" t="s">
        <v>83</v>
      </c>
      <c r="G382">
        <v>1</v>
      </c>
      <c r="H382" s="2" t="s">
        <v>24</v>
      </c>
      <c r="I382" s="2" t="s">
        <v>90</v>
      </c>
      <c r="J382">
        <v>1</v>
      </c>
      <c r="K382">
        <v>1</v>
      </c>
      <c r="L382">
        <f>correct_ratio_df__3[[#This Row],[available]]-correct_ratio_df__3[[#This Row],[stable]]</f>
        <v>0</v>
      </c>
    </row>
    <row r="383" spans="1:12" x14ac:dyDescent="0.2">
      <c r="A383">
        <v>381</v>
      </c>
      <c r="B383" s="2" t="s">
        <v>62</v>
      </c>
      <c r="C383" s="2" t="s">
        <v>16</v>
      </c>
      <c r="D383" s="2" t="s">
        <v>18</v>
      </c>
      <c r="E383" s="2" t="s">
        <v>11</v>
      </c>
      <c r="F383" s="2" t="s">
        <v>83</v>
      </c>
      <c r="G383">
        <v>1</v>
      </c>
      <c r="H383" s="2" t="s">
        <v>24</v>
      </c>
      <c r="I383" s="2" t="s">
        <v>90</v>
      </c>
      <c r="J383">
        <v>1</v>
      </c>
      <c r="K383">
        <v>1</v>
      </c>
      <c r="L383">
        <f>correct_ratio_df__3[[#This Row],[available]]-correct_ratio_df__3[[#This Row],[stable]]</f>
        <v>0</v>
      </c>
    </row>
    <row r="384" spans="1:12" x14ac:dyDescent="0.2">
      <c r="A384">
        <v>382</v>
      </c>
      <c r="B384" s="2" t="s">
        <v>63</v>
      </c>
      <c r="C384" s="2" t="s">
        <v>9</v>
      </c>
      <c r="D384" s="2" t="s">
        <v>20</v>
      </c>
      <c r="E384" s="2" t="s">
        <v>15</v>
      </c>
      <c r="F384" s="2" t="s">
        <v>83</v>
      </c>
      <c r="G384">
        <v>1</v>
      </c>
      <c r="H384" s="2" t="s">
        <v>24</v>
      </c>
      <c r="I384" s="2" t="s">
        <v>90</v>
      </c>
      <c r="J384">
        <v>1</v>
      </c>
      <c r="K384">
        <v>1</v>
      </c>
      <c r="L384">
        <f>correct_ratio_df__3[[#This Row],[available]]-correct_ratio_df__3[[#This Row],[stable]]</f>
        <v>0</v>
      </c>
    </row>
    <row r="385" spans="1:12" x14ac:dyDescent="0.2">
      <c r="A385">
        <v>383</v>
      </c>
      <c r="B385" s="2" t="s">
        <v>64</v>
      </c>
      <c r="C385" s="2" t="s">
        <v>14</v>
      </c>
      <c r="D385" s="2" t="s">
        <v>17</v>
      </c>
      <c r="E385" s="2" t="s">
        <v>11</v>
      </c>
      <c r="F385" s="2" t="s">
        <v>83</v>
      </c>
      <c r="G385">
        <v>1</v>
      </c>
      <c r="H385" s="2" t="s">
        <v>24</v>
      </c>
      <c r="I385" s="2" t="s">
        <v>90</v>
      </c>
      <c r="J385">
        <v>1</v>
      </c>
      <c r="K385">
        <v>1</v>
      </c>
      <c r="L385">
        <f>correct_ratio_df__3[[#This Row],[available]]-correct_ratio_df__3[[#This Row],[stable]]</f>
        <v>0</v>
      </c>
    </row>
    <row r="386" spans="1:12" x14ac:dyDescent="0.2">
      <c r="A386">
        <v>384</v>
      </c>
      <c r="B386" s="2" t="s">
        <v>65</v>
      </c>
      <c r="C386" s="2" t="s">
        <v>19</v>
      </c>
      <c r="D386" s="2" t="s">
        <v>18</v>
      </c>
      <c r="E386" s="2" t="s">
        <v>21</v>
      </c>
      <c r="F386" s="2" t="s">
        <v>83</v>
      </c>
      <c r="G386">
        <v>0</v>
      </c>
      <c r="H386" s="2" t="s">
        <v>24</v>
      </c>
      <c r="I386" s="2" t="s">
        <v>90</v>
      </c>
      <c r="J386">
        <v>0</v>
      </c>
      <c r="K386">
        <v>0</v>
      </c>
      <c r="L386">
        <f>correct_ratio_df__3[[#This Row],[available]]-correct_ratio_df__3[[#This Row],[stable]]</f>
        <v>0</v>
      </c>
    </row>
    <row r="387" spans="1:12" x14ac:dyDescent="0.2">
      <c r="A387">
        <v>385</v>
      </c>
      <c r="B387" s="2" t="s">
        <v>66</v>
      </c>
      <c r="C387" s="2" t="s">
        <v>14</v>
      </c>
      <c r="D387" s="2" t="s">
        <v>18</v>
      </c>
      <c r="E387" s="2" t="s">
        <v>15</v>
      </c>
      <c r="F387" s="2" t="s">
        <v>83</v>
      </c>
      <c r="G387">
        <v>1</v>
      </c>
      <c r="H387" s="2" t="s">
        <v>24</v>
      </c>
      <c r="I387" s="2" t="s">
        <v>90</v>
      </c>
      <c r="J387">
        <v>1</v>
      </c>
      <c r="K387">
        <v>1</v>
      </c>
      <c r="L387">
        <f>correct_ratio_df__3[[#This Row],[available]]-correct_ratio_df__3[[#This Row],[stable]]</f>
        <v>0</v>
      </c>
    </row>
    <row r="388" spans="1:12" x14ac:dyDescent="0.2">
      <c r="A388">
        <v>386</v>
      </c>
      <c r="B388" s="2" t="s">
        <v>67</v>
      </c>
      <c r="C388" s="2" t="s">
        <v>9</v>
      </c>
      <c r="D388" s="2" t="s">
        <v>17</v>
      </c>
      <c r="E388" s="2" t="s">
        <v>21</v>
      </c>
      <c r="F388" s="2" t="s">
        <v>83</v>
      </c>
      <c r="G388">
        <v>1</v>
      </c>
      <c r="H388" s="2" t="s">
        <v>24</v>
      </c>
      <c r="I388" s="2" t="s">
        <v>90</v>
      </c>
      <c r="J388">
        <v>1</v>
      </c>
      <c r="K388">
        <v>1</v>
      </c>
      <c r="L388">
        <f>correct_ratio_df__3[[#This Row],[available]]-correct_ratio_df__3[[#This Row],[stable]]</f>
        <v>0</v>
      </c>
    </row>
    <row r="389" spans="1:12" x14ac:dyDescent="0.2">
      <c r="A389">
        <v>387</v>
      </c>
      <c r="B389" s="2" t="s">
        <v>68</v>
      </c>
      <c r="C389" s="2" t="s">
        <v>14</v>
      </c>
      <c r="D389" s="2" t="s">
        <v>17</v>
      </c>
      <c r="E389" s="2" t="s">
        <v>15</v>
      </c>
      <c r="F389" s="2" t="s">
        <v>83</v>
      </c>
      <c r="G389">
        <v>1</v>
      </c>
      <c r="H389" s="2" t="s">
        <v>24</v>
      </c>
      <c r="I389" s="2" t="s">
        <v>90</v>
      </c>
      <c r="J389">
        <v>1</v>
      </c>
      <c r="K389">
        <v>1</v>
      </c>
      <c r="L389">
        <f>correct_ratio_df__3[[#This Row],[available]]-correct_ratio_df__3[[#This Row],[stable]]</f>
        <v>0</v>
      </c>
    </row>
    <row r="390" spans="1:12" x14ac:dyDescent="0.2">
      <c r="A390">
        <v>388</v>
      </c>
      <c r="B390" s="2" t="s">
        <v>69</v>
      </c>
      <c r="C390" s="2" t="s">
        <v>22</v>
      </c>
      <c r="D390" s="2" t="s">
        <v>17</v>
      </c>
      <c r="E390" s="2" t="s">
        <v>11</v>
      </c>
      <c r="F390" s="2" t="s">
        <v>83</v>
      </c>
      <c r="G390">
        <v>1</v>
      </c>
      <c r="H390" s="2" t="s">
        <v>24</v>
      </c>
      <c r="I390" s="2" t="s">
        <v>90</v>
      </c>
      <c r="J390">
        <v>1</v>
      </c>
      <c r="K390">
        <v>1</v>
      </c>
      <c r="L390">
        <f>correct_ratio_df__3[[#This Row],[available]]-correct_ratio_df__3[[#This Row],[stable]]</f>
        <v>0</v>
      </c>
    </row>
    <row r="391" spans="1:12" x14ac:dyDescent="0.2">
      <c r="A391">
        <v>389</v>
      </c>
      <c r="B391" s="2" t="s">
        <v>70</v>
      </c>
      <c r="C391" s="2" t="s">
        <v>9</v>
      </c>
      <c r="D391" s="2" t="s">
        <v>17</v>
      </c>
      <c r="E391" s="2" t="s">
        <v>15</v>
      </c>
      <c r="F391" s="2" t="s">
        <v>83</v>
      </c>
      <c r="G391">
        <v>1</v>
      </c>
      <c r="H391" s="2" t="s">
        <v>24</v>
      </c>
      <c r="I391" s="2" t="s">
        <v>90</v>
      </c>
      <c r="J391">
        <v>1</v>
      </c>
      <c r="K391">
        <v>1</v>
      </c>
      <c r="L391">
        <f>correct_ratio_df__3[[#This Row],[available]]-correct_ratio_df__3[[#This Row],[stable]]</f>
        <v>0</v>
      </c>
    </row>
    <row r="392" spans="1:12" x14ac:dyDescent="0.2">
      <c r="A392">
        <v>390</v>
      </c>
      <c r="B392" s="2" t="s">
        <v>71</v>
      </c>
      <c r="C392" s="2" t="s">
        <v>9</v>
      </c>
      <c r="D392" s="2" t="s">
        <v>17</v>
      </c>
      <c r="E392" s="2" t="s">
        <v>21</v>
      </c>
      <c r="F392" s="2" t="s">
        <v>83</v>
      </c>
      <c r="G392">
        <v>1</v>
      </c>
      <c r="H392" s="2" t="s">
        <v>24</v>
      </c>
      <c r="I392" s="2" t="s">
        <v>90</v>
      </c>
      <c r="J392">
        <v>1</v>
      </c>
      <c r="K392">
        <v>1</v>
      </c>
      <c r="L392">
        <f>correct_ratio_df__3[[#This Row],[available]]-correct_ratio_df__3[[#This Row],[stable]]</f>
        <v>0</v>
      </c>
    </row>
    <row r="393" spans="1:12" x14ac:dyDescent="0.2">
      <c r="A393">
        <v>391</v>
      </c>
      <c r="B393" s="2" t="s">
        <v>72</v>
      </c>
      <c r="C393" s="2" t="s">
        <v>19</v>
      </c>
      <c r="D393" s="2" t="s">
        <v>17</v>
      </c>
      <c r="E393" s="2" t="s">
        <v>11</v>
      </c>
      <c r="F393" s="2" t="s">
        <v>83</v>
      </c>
      <c r="G393">
        <v>1</v>
      </c>
      <c r="H393" s="2" t="s">
        <v>24</v>
      </c>
      <c r="I393" s="2" t="s">
        <v>90</v>
      </c>
      <c r="J393">
        <v>1</v>
      </c>
      <c r="K393">
        <v>1</v>
      </c>
      <c r="L393">
        <f>correct_ratio_df__3[[#This Row],[available]]-correct_ratio_df__3[[#This Row],[stable]]</f>
        <v>0</v>
      </c>
    </row>
    <row r="394" spans="1:12" x14ac:dyDescent="0.2">
      <c r="A394">
        <v>392</v>
      </c>
      <c r="B394" s="2" t="s">
        <v>73</v>
      </c>
      <c r="C394" s="2" t="s">
        <v>16</v>
      </c>
      <c r="D394" s="2" t="s">
        <v>17</v>
      </c>
      <c r="E394" s="2" t="s">
        <v>11</v>
      </c>
      <c r="F394" s="2" t="s">
        <v>83</v>
      </c>
      <c r="G394">
        <v>1</v>
      </c>
      <c r="H394" s="2" t="s">
        <v>24</v>
      </c>
      <c r="I394" s="2" t="s">
        <v>90</v>
      </c>
      <c r="J394">
        <v>1</v>
      </c>
      <c r="K394">
        <v>1</v>
      </c>
      <c r="L394">
        <f>correct_ratio_df__3[[#This Row],[available]]-correct_ratio_df__3[[#This Row],[stable]]</f>
        <v>0</v>
      </c>
    </row>
    <row r="395" spans="1:12" x14ac:dyDescent="0.2">
      <c r="A395">
        <v>393</v>
      </c>
      <c r="B395" s="2" t="s">
        <v>74</v>
      </c>
      <c r="C395" s="2" t="s">
        <v>22</v>
      </c>
      <c r="D395" s="2" t="s">
        <v>17</v>
      </c>
      <c r="E395" s="2" t="s">
        <v>21</v>
      </c>
      <c r="F395" s="2" t="s">
        <v>83</v>
      </c>
      <c r="G395">
        <v>1</v>
      </c>
      <c r="H395" s="2" t="s">
        <v>24</v>
      </c>
      <c r="I395" s="2" t="s">
        <v>90</v>
      </c>
      <c r="J395">
        <v>1</v>
      </c>
      <c r="K395">
        <v>1</v>
      </c>
      <c r="L395">
        <f>correct_ratio_df__3[[#This Row],[available]]-correct_ratio_df__3[[#This Row],[stable]]</f>
        <v>0</v>
      </c>
    </row>
    <row r="396" spans="1:12" x14ac:dyDescent="0.2">
      <c r="A396">
        <v>394</v>
      </c>
      <c r="B396" s="2" t="s">
        <v>75</v>
      </c>
      <c r="C396" s="2" t="s">
        <v>14</v>
      </c>
      <c r="D396" s="2" t="s">
        <v>17</v>
      </c>
      <c r="E396" s="2" t="s">
        <v>21</v>
      </c>
      <c r="F396" s="2" t="s">
        <v>83</v>
      </c>
      <c r="G396">
        <v>1</v>
      </c>
      <c r="H396" s="2" t="s">
        <v>24</v>
      </c>
      <c r="I396" s="2" t="s">
        <v>90</v>
      </c>
      <c r="J396">
        <v>1</v>
      </c>
      <c r="K396">
        <v>1</v>
      </c>
      <c r="L396">
        <f>correct_ratio_df__3[[#This Row],[available]]-correct_ratio_df__3[[#This Row],[stable]]</f>
        <v>0</v>
      </c>
    </row>
    <row r="397" spans="1:12" x14ac:dyDescent="0.2">
      <c r="A397">
        <v>395</v>
      </c>
      <c r="B397" s="2" t="s">
        <v>76</v>
      </c>
      <c r="C397" s="2" t="s">
        <v>14</v>
      </c>
      <c r="D397" s="2" t="s">
        <v>10</v>
      </c>
      <c r="E397" s="2" t="s">
        <v>21</v>
      </c>
      <c r="F397" s="2" t="s">
        <v>83</v>
      </c>
      <c r="G397">
        <v>1</v>
      </c>
      <c r="H397" s="2" t="s">
        <v>24</v>
      </c>
      <c r="I397" s="2" t="s">
        <v>90</v>
      </c>
      <c r="J397">
        <v>1</v>
      </c>
      <c r="K397">
        <v>1</v>
      </c>
      <c r="L397">
        <f>correct_ratio_df__3[[#This Row],[available]]-correct_ratio_df__3[[#This Row],[stable]]</f>
        <v>0</v>
      </c>
    </row>
    <row r="398" spans="1:12" x14ac:dyDescent="0.2">
      <c r="A398">
        <v>396</v>
      </c>
      <c r="B398" s="2" t="s">
        <v>77</v>
      </c>
      <c r="C398" s="2" t="s">
        <v>9</v>
      </c>
      <c r="D398" s="2" t="s">
        <v>17</v>
      </c>
      <c r="E398" s="2" t="s">
        <v>15</v>
      </c>
      <c r="F398" s="2" t="s">
        <v>83</v>
      </c>
      <c r="G398">
        <v>0</v>
      </c>
      <c r="H398" s="2" t="s">
        <v>24</v>
      </c>
      <c r="I398" s="2" t="s">
        <v>90</v>
      </c>
      <c r="J398">
        <v>0</v>
      </c>
      <c r="K398">
        <v>0</v>
      </c>
      <c r="L398">
        <f>correct_ratio_df__3[[#This Row],[available]]-correct_ratio_df__3[[#This Row],[stable]]</f>
        <v>0</v>
      </c>
    </row>
    <row r="399" spans="1:12" x14ac:dyDescent="0.2">
      <c r="A399">
        <v>397</v>
      </c>
      <c r="B399" s="2" t="s">
        <v>78</v>
      </c>
      <c r="C399" s="2" t="s">
        <v>9</v>
      </c>
      <c r="D399" s="2" t="s">
        <v>17</v>
      </c>
      <c r="E399" s="2" t="s">
        <v>21</v>
      </c>
      <c r="F399" s="2" t="s">
        <v>83</v>
      </c>
      <c r="G399">
        <v>1</v>
      </c>
      <c r="H399" s="2" t="s">
        <v>24</v>
      </c>
      <c r="I399" s="2" t="s">
        <v>90</v>
      </c>
      <c r="J399">
        <v>1</v>
      </c>
      <c r="K399">
        <v>1</v>
      </c>
      <c r="L399">
        <f>correct_ratio_df__3[[#This Row],[available]]-correct_ratio_df__3[[#This Row],[stable]]</f>
        <v>0</v>
      </c>
    </row>
    <row r="400" spans="1:12" x14ac:dyDescent="0.2">
      <c r="A400">
        <v>398</v>
      </c>
      <c r="B400" s="2" t="s">
        <v>79</v>
      </c>
      <c r="C400" s="2" t="s">
        <v>14</v>
      </c>
      <c r="D400" s="2" t="s">
        <v>17</v>
      </c>
      <c r="E400" s="2" t="s">
        <v>11</v>
      </c>
      <c r="F400" s="2" t="s">
        <v>83</v>
      </c>
      <c r="G400">
        <v>1</v>
      </c>
      <c r="H400" s="2" t="s">
        <v>24</v>
      </c>
      <c r="I400" s="2" t="s">
        <v>90</v>
      </c>
      <c r="J400">
        <v>1</v>
      </c>
      <c r="K400">
        <v>1</v>
      </c>
      <c r="L400">
        <f>correct_ratio_df__3[[#This Row],[available]]-correct_ratio_df__3[[#This Row],[stable]]</f>
        <v>0</v>
      </c>
    </row>
    <row r="401" spans="1:12" x14ac:dyDescent="0.2">
      <c r="A401">
        <v>399</v>
      </c>
      <c r="B401" s="2" t="s">
        <v>80</v>
      </c>
      <c r="C401" s="2" t="s">
        <v>22</v>
      </c>
      <c r="D401" s="2" t="s">
        <v>20</v>
      </c>
      <c r="E401" s="2" t="s">
        <v>11</v>
      </c>
      <c r="F401" s="2" t="s">
        <v>83</v>
      </c>
      <c r="G401">
        <v>0</v>
      </c>
      <c r="H401" s="2" t="s">
        <v>24</v>
      </c>
      <c r="I401" s="2" t="s">
        <v>90</v>
      </c>
      <c r="J401">
        <v>0</v>
      </c>
      <c r="K401">
        <v>0</v>
      </c>
      <c r="L401">
        <f>correct_ratio_df__3[[#This Row],[available]]-correct_ratio_df__3[[#This Row],[stable]]</f>
        <v>0</v>
      </c>
    </row>
    <row r="402" spans="1:12" x14ac:dyDescent="0.2">
      <c r="A402">
        <v>400</v>
      </c>
      <c r="B402" s="2" t="s">
        <v>41</v>
      </c>
      <c r="C402" s="2" t="s">
        <v>9</v>
      </c>
      <c r="D402" s="2" t="s">
        <v>10</v>
      </c>
      <c r="E402" s="2" t="s">
        <v>11</v>
      </c>
      <c r="F402" s="2" t="s">
        <v>31</v>
      </c>
      <c r="G402">
        <v>1</v>
      </c>
      <c r="H402" s="2" t="s">
        <v>30</v>
      </c>
      <c r="I402" s="2" t="s">
        <v>87</v>
      </c>
      <c r="J402">
        <v>1</v>
      </c>
      <c r="K402">
        <v>1</v>
      </c>
      <c r="L402">
        <f>correct_ratio_df__3[[#This Row],[available]]-correct_ratio_df__3[[#This Row],[stable]]</f>
        <v>0</v>
      </c>
    </row>
    <row r="403" spans="1:12" x14ac:dyDescent="0.2">
      <c r="A403">
        <v>401</v>
      </c>
      <c r="B403" s="2" t="s">
        <v>42</v>
      </c>
      <c r="C403" s="2" t="s">
        <v>14</v>
      </c>
      <c r="D403" s="2" t="s">
        <v>10</v>
      </c>
      <c r="E403" s="2" t="s">
        <v>15</v>
      </c>
      <c r="F403" s="2" t="s">
        <v>31</v>
      </c>
      <c r="G403">
        <v>1</v>
      </c>
      <c r="H403" s="2" t="s">
        <v>30</v>
      </c>
      <c r="I403" s="2" t="s">
        <v>87</v>
      </c>
      <c r="J403">
        <v>1</v>
      </c>
      <c r="K403">
        <v>1</v>
      </c>
      <c r="L403">
        <f>correct_ratio_df__3[[#This Row],[available]]-correct_ratio_df__3[[#This Row],[stable]]</f>
        <v>0</v>
      </c>
    </row>
    <row r="404" spans="1:12" x14ac:dyDescent="0.2">
      <c r="A404">
        <v>402</v>
      </c>
      <c r="B404" s="2" t="s">
        <v>43</v>
      </c>
      <c r="C404" s="2" t="s">
        <v>16</v>
      </c>
      <c r="D404" s="2" t="s">
        <v>17</v>
      </c>
      <c r="E404" s="2" t="s">
        <v>11</v>
      </c>
      <c r="F404" s="2" t="s">
        <v>31</v>
      </c>
      <c r="G404">
        <v>1</v>
      </c>
      <c r="H404" s="2" t="s">
        <v>30</v>
      </c>
      <c r="I404" s="2" t="s">
        <v>87</v>
      </c>
      <c r="J404">
        <v>1</v>
      </c>
      <c r="K404">
        <v>1</v>
      </c>
      <c r="L404">
        <f>correct_ratio_df__3[[#This Row],[available]]-correct_ratio_df__3[[#This Row],[stable]]</f>
        <v>0</v>
      </c>
    </row>
    <row r="405" spans="1:12" x14ac:dyDescent="0.2">
      <c r="A405">
        <v>403</v>
      </c>
      <c r="B405" s="2" t="s">
        <v>44</v>
      </c>
      <c r="C405" s="2" t="s">
        <v>16</v>
      </c>
      <c r="D405" s="2" t="s">
        <v>10</v>
      </c>
      <c r="E405" s="2" t="s">
        <v>15</v>
      </c>
      <c r="F405" s="2" t="s">
        <v>31</v>
      </c>
      <c r="G405">
        <v>1</v>
      </c>
      <c r="H405" s="2" t="s">
        <v>30</v>
      </c>
      <c r="I405" s="2" t="s">
        <v>87</v>
      </c>
      <c r="J405">
        <v>1</v>
      </c>
      <c r="K405">
        <v>1</v>
      </c>
      <c r="L405">
        <f>correct_ratio_df__3[[#This Row],[available]]-correct_ratio_df__3[[#This Row],[stable]]</f>
        <v>0</v>
      </c>
    </row>
    <row r="406" spans="1:12" x14ac:dyDescent="0.2">
      <c r="A406">
        <v>404</v>
      </c>
      <c r="B406" s="2" t="s">
        <v>45</v>
      </c>
      <c r="C406" s="2" t="s">
        <v>14</v>
      </c>
      <c r="D406" s="2" t="s">
        <v>18</v>
      </c>
      <c r="E406" s="2" t="s">
        <v>15</v>
      </c>
      <c r="F406" s="2" t="s">
        <v>31</v>
      </c>
      <c r="G406">
        <v>1</v>
      </c>
      <c r="H406" s="2" t="s">
        <v>30</v>
      </c>
      <c r="I406" s="2" t="s">
        <v>87</v>
      </c>
      <c r="J406">
        <v>1</v>
      </c>
      <c r="K406">
        <v>1</v>
      </c>
      <c r="L406">
        <f>correct_ratio_df__3[[#This Row],[available]]-correct_ratio_df__3[[#This Row],[stable]]</f>
        <v>0</v>
      </c>
    </row>
    <row r="407" spans="1:12" x14ac:dyDescent="0.2">
      <c r="A407">
        <v>405</v>
      </c>
      <c r="B407" s="2" t="s">
        <v>46</v>
      </c>
      <c r="C407" s="2" t="s">
        <v>14</v>
      </c>
      <c r="D407" s="2" t="s">
        <v>10</v>
      </c>
      <c r="E407" s="2" t="s">
        <v>15</v>
      </c>
      <c r="F407" s="2" t="s">
        <v>31</v>
      </c>
      <c r="G407">
        <v>1</v>
      </c>
      <c r="H407" s="2" t="s">
        <v>30</v>
      </c>
      <c r="I407" s="2" t="s">
        <v>87</v>
      </c>
      <c r="J407">
        <v>1</v>
      </c>
      <c r="K407">
        <v>1</v>
      </c>
      <c r="L407">
        <f>correct_ratio_df__3[[#This Row],[available]]-correct_ratio_df__3[[#This Row],[stable]]</f>
        <v>0</v>
      </c>
    </row>
    <row r="408" spans="1:12" x14ac:dyDescent="0.2">
      <c r="A408">
        <v>406</v>
      </c>
      <c r="B408" s="2" t="s">
        <v>47</v>
      </c>
      <c r="C408" s="2" t="s">
        <v>19</v>
      </c>
      <c r="D408" s="2" t="s">
        <v>10</v>
      </c>
      <c r="E408" s="2" t="s">
        <v>15</v>
      </c>
      <c r="F408" s="2" t="s">
        <v>31</v>
      </c>
      <c r="G408">
        <v>1</v>
      </c>
      <c r="H408" s="2" t="s">
        <v>30</v>
      </c>
      <c r="I408" s="2" t="s">
        <v>87</v>
      </c>
      <c r="J408">
        <v>1</v>
      </c>
      <c r="K408">
        <v>1</v>
      </c>
      <c r="L408">
        <f>correct_ratio_df__3[[#This Row],[available]]-correct_ratio_df__3[[#This Row],[stable]]</f>
        <v>0</v>
      </c>
    </row>
    <row r="409" spans="1:12" x14ac:dyDescent="0.2">
      <c r="A409">
        <v>407</v>
      </c>
      <c r="B409" s="2" t="s">
        <v>48</v>
      </c>
      <c r="C409" s="2" t="s">
        <v>16</v>
      </c>
      <c r="D409" s="2" t="s">
        <v>20</v>
      </c>
      <c r="E409" s="2" t="s">
        <v>21</v>
      </c>
      <c r="F409" s="2" t="s">
        <v>31</v>
      </c>
      <c r="G409">
        <v>1</v>
      </c>
      <c r="H409" s="2" t="s">
        <v>30</v>
      </c>
      <c r="I409" s="2" t="s">
        <v>87</v>
      </c>
      <c r="J409">
        <v>1</v>
      </c>
      <c r="K409">
        <v>1</v>
      </c>
      <c r="L409">
        <f>correct_ratio_df__3[[#This Row],[available]]-correct_ratio_df__3[[#This Row],[stable]]</f>
        <v>0</v>
      </c>
    </row>
    <row r="410" spans="1:12" x14ac:dyDescent="0.2">
      <c r="A410">
        <v>408</v>
      </c>
      <c r="B410" s="2" t="s">
        <v>49</v>
      </c>
      <c r="C410" s="2" t="s">
        <v>16</v>
      </c>
      <c r="D410" s="2" t="s">
        <v>10</v>
      </c>
      <c r="E410" s="2" t="s">
        <v>21</v>
      </c>
      <c r="F410" s="2" t="s">
        <v>31</v>
      </c>
      <c r="G410">
        <v>1</v>
      </c>
      <c r="H410" s="2" t="s">
        <v>30</v>
      </c>
      <c r="I410" s="2" t="s">
        <v>87</v>
      </c>
      <c r="J410">
        <v>1</v>
      </c>
      <c r="K410">
        <v>1</v>
      </c>
      <c r="L410">
        <f>correct_ratio_df__3[[#This Row],[available]]-correct_ratio_df__3[[#This Row],[stable]]</f>
        <v>0</v>
      </c>
    </row>
    <row r="411" spans="1:12" x14ac:dyDescent="0.2">
      <c r="A411">
        <v>409</v>
      </c>
      <c r="B411" s="2" t="s">
        <v>50</v>
      </c>
      <c r="C411" s="2" t="s">
        <v>9</v>
      </c>
      <c r="D411" s="2" t="s">
        <v>17</v>
      </c>
      <c r="E411" s="2" t="s">
        <v>21</v>
      </c>
      <c r="F411" s="2" t="s">
        <v>31</v>
      </c>
      <c r="G411">
        <v>1</v>
      </c>
      <c r="H411" s="2" t="s">
        <v>30</v>
      </c>
      <c r="I411" s="2" t="s">
        <v>87</v>
      </c>
      <c r="J411">
        <v>1</v>
      </c>
      <c r="K411">
        <v>1</v>
      </c>
      <c r="L411">
        <f>correct_ratio_df__3[[#This Row],[available]]-correct_ratio_df__3[[#This Row],[stable]]</f>
        <v>0</v>
      </c>
    </row>
    <row r="412" spans="1:12" x14ac:dyDescent="0.2">
      <c r="A412">
        <v>410</v>
      </c>
      <c r="B412" s="2" t="s">
        <v>51</v>
      </c>
      <c r="C412" s="2" t="s">
        <v>16</v>
      </c>
      <c r="D412" s="2" t="s">
        <v>17</v>
      </c>
      <c r="E412" s="2" t="s">
        <v>11</v>
      </c>
      <c r="F412" s="2" t="s">
        <v>31</v>
      </c>
      <c r="G412">
        <v>1</v>
      </c>
      <c r="H412" s="2" t="s">
        <v>30</v>
      </c>
      <c r="I412" s="2" t="s">
        <v>87</v>
      </c>
      <c r="J412">
        <v>1</v>
      </c>
      <c r="K412">
        <v>1</v>
      </c>
      <c r="L412">
        <f>correct_ratio_df__3[[#This Row],[available]]-correct_ratio_df__3[[#This Row],[stable]]</f>
        <v>0</v>
      </c>
    </row>
    <row r="413" spans="1:12" x14ac:dyDescent="0.2">
      <c r="A413">
        <v>411</v>
      </c>
      <c r="B413" s="2" t="s">
        <v>52</v>
      </c>
      <c r="C413" s="2" t="s">
        <v>9</v>
      </c>
      <c r="D413" s="2" t="s">
        <v>17</v>
      </c>
      <c r="E413" s="2" t="s">
        <v>15</v>
      </c>
      <c r="F413" s="2" t="s">
        <v>31</v>
      </c>
      <c r="G413">
        <v>1</v>
      </c>
      <c r="H413" s="2" t="s">
        <v>30</v>
      </c>
      <c r="I413" s="2" t="s">
        <v>87</v>
      </c>
      <c r="J413">
        <v>1</v>
      </c>
      <c r="K413">
        <v>1</v>
      </c>
      <c r="L413">
        <f>correct_ratio_df__3[[#This Row],[available]]-correct_ratio_df__3[[#This Row],[stable]]</f>
        <v>0</v>
      </c>
    </row>
    <row r="414" spans="1:12" x14ac:dyDescent="0.2">
      <c r="A414">
        <v>412</v>
      </c>
      <c r="B414" s="2" t="s">
        <v>53</v>
      </c>
      <c r="C414" s="2" t="s">
        <v>19</v>
      </c>
      <c r="D414" s="2" t="s">
        <v>17</v>
      </c>
      <c r="E414" s="2" t="s">
        <v>21</v>
      </c>
      <c r="F414" s="2" t="s">
        <v>31</v>
      </c>
      <c r="G414">
        <v>1</v>
      </c>
      <c r="H414" s="2" t="s">
        <v>30</v>
      </c>
      <c r="I414" s="2" t="s">
        <v>87</v>
      </c>
      <c r="J414">
        <v>1</v>
      </c>
      <c r="K414">
        <v>1</v>
      </c>
      <c r="L414">
        <f>correct_ratio_df__3[[#This Row],[available]]-correct_ratio_df__3[[#This Row],[stable]]</f>
        <v>0</v>
      </c>
    </row>
    <row r="415" spans="1:12" x14ac:dyDescent="0.2">
      <c r="A415">
        <v>413</v>
      </c>
      <c r="B415" s="2" t="s">
        <v>54</v>
      </c>
      <c r="C415" s="2" t="s">
        <v>14</v>
      </c>
      <c r="D415" s="2" t="s">
        <v>17</v>
      </c>
      <c r="E415" s="2" t="s">
        <v>15</v>
      </c>
      <c r="F415" s="2" t="s">
        <v>31</v>
      </c>
      <c r="G415">
        <v>1</v>
      </c>
      <c r="H415" s="2" t="s">
        <v>30</v>
      </c>
      <c r="I415" s="2" t="s">
        <v>87</v>
      </c>
      <c r="J415">
        <v>1</v>
      </c>
      <c r="K415">
        <v>1</v>
      </c>
      <c r="L415">
        <f>correct_ratio_df__3[[#This Row],[available]]-correct_ratio_df__3[[#This Row],[stable]]</f>
        <v>0</v>
      </c>
    </row>
    <row r="416" spans="1:12" x14ac:dyDescent="0.2">
      <c r="A416">
        <v>414</v>
      </c>
      <c r="B416" s="2" t="s">
        <v>55</v>
      </c>
      <c r="C416" s="2" t="s">
        <v>9</v>
      </c>
      <c r="D416" s="2" t="s">
        <v>18</v>
      </c>
      <c r="E416" s="2" t="s">
        <v>21</v>
      </c>
      <c r="F416" s="2" t="s">
        <v>31</v>
      </c>
      <c r="G416">
        <v>1</v>
      </c>
      <c r="H416" s="2" t="s">
        <v>30</v>
      </c>
      <c r="I416" s="2" t="s">
        <v>87</v>
      </c>
      <c r="J416">
        <v>1</v>
      </c>
      <c r="K416">
        <v>1</v>
      </c>
      <c r="L416">
        <f>correct_ratio_df__3[[#This Row],[available]]-correct_ratio_df__3[[#This Row],[stable]]</f>
        <v>0</v>
      </c>
    </row>
    <row r="417" spans="1:12" x14ac:dyDescent="0.2">
      <c r="A417">
        <v>415</v>
      </c>
      <c r="B417" s="2" t="s">
        <v>56</v>
      </c>
      <c r="C417" s="2" t="s">
        <v>19</v>
      </c>
      <c r="D417" s="2" t="s">
        <v>17</v>
      </c>
      <c r="E417" s="2" t="s">
        <v>21</v>
      </c>
      <c r="F417" s="2" t="s">
        <v>31</v>
      </c>
      <c r="G417">
        <v>0</v>
      </c>
      <c r="H417" s="2" t="s">
        <v>30</v>
      </c>
      <c r="I417" s="2" t="s">
        <v>87</v>
      </c>
      <c r="J417">
        <v>0</v>
      </c>
      <c r="K417">
        <v>0</v>
      </c>
      <c r="L417">
        <f>correct_ratio_df__3[[#This Row],[available]]-correct_ratio_df__3[[#This Row],[stable]]</f>
        <v>0</v>
      </c>
    </row>
    <row r="418" spans="1:12" x14ac:dyDescent="0.2">
      <c r="A418">
        <v>416</v>
      </c>
      <c r="B418" s="2" t="s">
        <v>57</v>
      </c>
      <c r="C418" s="2" t="s">
        <v>9</v>
      </c>
      <c r="D418" s="2" t="s">
        <v>17</v>
      </c>
      <c r="E418" s="2" t="s">
        <v>21</v>
      </c>
      <c r="F418" s="2" t="s">
        <v>31</v>
      </c>
      <c r="G418">
        <v>1</v>
      </c>
      <c r="H418" s="2" t="s">
        <v>30</v>
      </c>
      <c r="I418" s="2" t="s">
        <v>87</v>
      </c>
      <c r="J418">
        <v>1</v>
      </c>
      <c r="K418">
        <v>1</v>
      </c>
      <c r="L418">
        <f>correct_ratio_df__3[[#This Row],[available]]-correct_ratio_df__3[[#This Row],[stable]]</f>
        <v>0</v>
      </c>
    </row>
    <row r="419" spans="1:12" x14ac:dyDescent="0.2">
      <c r="A419">
        <v>417</v>
      </c>
      <c r="B419" s="2" t="s">
        <v>58</v>
      </c>
      <c r="C419" s="2" t="s">
        <v>9</v>
      </c>
      <c r="D419" s="2" t="s">
        <v>17</v>
      </c>
      <c r="E419" s="2" t="s">
        <v>21</v>
      </c>
      <c r="F419" s="2" t="s">
        <v>31</v>
      </c>
      <c r="G419">
        <v>1</v>
      </c>
      <c r="H419" s="2" t="s">
        <v>30</v>
      </c>
      <c r="I419" s="2" t="s">
        <v>87</v>
      </c>
      <c r="J419">
        <v>1</v>
      </c>
      <c r="K419">
        <v>1</v>
      </c>
      <c r="L419">
        <f>correct_ratio_df__3[[#This Row],[available]]-correct_ratio_df__3[[#This Row],[stable]]</f>
        <v>0</v>
      </c>
    </row>
    <row r="420" spans="1:12" x14ac:dyDescent="0.2">
      <c r="A420">
        <v>418</v>
      </c>
      <c r="B420" s="2" t="s">
        <v>59</v>
      </c>
      <c r="C420" s="2" t="s">
        <v>19</v>
      </c>
      <c r="D420" s="2" t="s">
        <v>17</v>
      </c>
      <c r="E420" s="2" t="s">
        <v>15</v>
      </c>
      <c r="F420" s="2" t="s">
        <v>31</v>
      </c>
      <c r="G420">
        <v>1</v>
      </c>
      <c r="H420" s="2" t="s">
        <v>30</v>
      </c>
      <c r="I420" s="2" t="s">
        <v>87</v>
      </c>
      <c r="J420">
        <v>1</v>
      </c>
      <c r="K420">
        <v>1</v>
      </c>
      <c r="L420">
        <f>correct_ratio_df__3[[#This Row],[available]]-correct_ratio_df__3[[#This Row],[stable]]</f>
        <v>0</v>
      </c>
    </row>
    <row r="421" spans="1:12" x14ac:dyDescent="0.2">
      <c r="A421">
        <v>419</v>
      </c>
      <c r="B421" s="2" t="s">
        <v>60</v>
      </c>
      <c r="C421" s="2" t="s">
        <v>9</v>
      </c>
      <c r="D421" s="2" t="s">
        <v>17</v>
      </c>
      <c r="E421" s="2" t="s">
        <v>21</v>
      </c>
      <c r="F421" s="2" t="s">
        <v>31</v>
      </c>
      <c r="G421">
        <v>0</v>
      </c>
      <c r="H421" s="2" t="s">
        <v>30</v>
      </c>
      <c r="I421" s="2" t="s">
        <v>87</v>
      </c>
      <c r="J421">
        <v>0</v>
      </c>
      <c r="K421">
        <v>0</v>
      </c>
      <c r="L421">
        <f>correct_ratio_df__3[[#This Row],[available]]-correct_ratio_df__3[[#This Row],[stable]]</f>
        <v>0</v>
      </c>
    </row>
    <row r="422" spans="1:12" x14ac:dyDescent="0.2">
      <c r="A422">
        <v>420</v>
      </c>
      <c r="B422" s="2" t="s">
        <v>61</v>
      </c>
      <c r="C422" s="2" t="s">
        <v>14</v>
      </c>
      <c r="D422" s="2" t="s">
        <v>10</v>
      </c>
      <c r="E422" s="2" t="s">
        <v>11</v>
      </c>
      <c r="F422" s="2" t="s">
        <v>31</v>
      </c>
      <c r="G422">
        <v>1</v>
      </c>
      <c r="H422" s="2" t="s">
        <v>30</v>
      </c>
      <c r="I422" s="2" t="s">
        <v>87</v>
      </c>
      <c r="J422">
        <v>1</v>
      </c>
      <c r="K422">
        <v>1</v>
      </c>
      <c r="L422">
        <f>correct_ratio_df__3[[#This Row],[available]]-correct_ratio_df__3[[#This Row],[stable]]</f>
        <v>0</v>
      </c>
    </row>
    <row r="423" spans="1:12" x14ac:dyDescent="0.2">
      <c r="A423">
        <v>421</v>
      </c>
      <c r="B423" s="2" t="s">
        <v>62</v>
      </c>
      <c r="C423" s="2" t="s">
        <v>16</v>
      </c>
      <c r="D423" s="2" t="s">
        <v>18</v>
      </c>
      <c r="E423" s="2" t="s">
        <v>11</v>
      </c>
      <c r="F423" s="2" t="s">
        <v>31</v>
      </c>
      <c r="G423">
        <v>1</v>
      </c>
      <c r="H423" s="2" t="s">
        <v>30</v>
      </c>
      <c r="I423" s="2" t="s">
        <v>87</v>
      </c>
      <c r="J423">
        <v>1</v>
      </c>
      <c r="K423">
        <v>1</v>
      </c>
      <c r="L423">
        <f>correct_ratio_df__3[[#This Row],[available]]-correct_ratio_df__3[[#This Row],[stable]]</f>
        <v>0</v>
      </c>
    </row>
    <row r="424" spans="1:12" x14ac:dyDescent="0.2">
      <c r="A424">
        <v>422</v>
      </c>
      <c r="B424" s="2" t="s">
        <v>63</v>
      </c>
      <c r="C424" s="2" t="s">
        <v>9</v>
      </c>
      <c r="D424" s="2" t="s">
        <v>20</v>
      </c>
      <c r="E424" s="2" t="s">
        <v>15</v>
      </c>
      <c r="F424" s="2" t="s">
        <v>31</v>
      </c>
      <c r="G424">
        <v>0.33333333333333331</v>
      </c>
      <c r="H424" s="2" t="s">
        <v>30</v>
      </c>
      <c r="I424" s="2" t="s">
        <v>87</v>
      </c>
      <c r="J424">
        <v>1</v>
      </c>
      <c r="K424">
        <v>0</v>
      </c>
      <c r="L424">
        <f>correct_ratio_df__3[[#This Row],[available]]-correct_ratio_df__3[[#This Row],[stable]]</f>
        <v>1</v>
      </c>
    </row>
    <row r="425" spans="1:12" x14ac:dyDescent="0.2">
      <c r="A425">
        <v>423</v>
      </c>
      <c r="B425" s="2" t="s">
        <v>64</v>
      </c>
      <c r="C425" s="2" t="s">
        <v>14</v>
      </c>
      <c r="D425" s="2" t="s">
        <v>17</v>
      </c>
      <c r="E425" s="2" t="s">
        <v>11</v>
      </c>
      <c r="F425" s="2" t="s">
        <v>31</v>
      </c>
      <c r="G425">
        <v>1</v>
      </c>
      <c r="H425" s="2" t="s">
        <v>30</v>
      </c>
      <c r="I425" s="2" t="s">
        <v>87</v>
      </c>
      <c r="J425">
        <v>1</v>
      </c>
      <c r="K425">
        <v>1</v>
      </c>
      <c r="L425">
        <f>correct_ratio_df__3[[#This Row],[available]]-correct_ratio_df__3[[#This Row],[stable]]</f>
        <v>0</v>
      </c>
    </row>
    <row r="426" spans="1:12" x14ac:dyDescent="0.2">
      <c r="A426">
        <v>424</v>
      </c>
      <c r="B426" s="2" t="s">
        <v>65</v>
      </c>
      <c r="C426" s="2" t="s">
        <v>19</v>
      </c>
      <c r="D426" s="2" t="s">
        <v>18</v>
      </c>
      <c r="E426" s="2" t="s">
        <v>21</v>
      </c>
      <c r="F426" s="2" t="s">
        <v>31</v>
      </c>
      <c r="G426">
        <v>1</v>
      </c>
      <c r="H426" s="2" t="s">
        <v>30</v>
      </c>
      <c r="I426" s="2" t="s">
        <v>87</v>
      </c>
      <c r="J426">
        <v>1</v>
      </c>
      <c r="K426">
        <v>1</v>
      </c>
      <c r="L426">
        <f>correct_ratio_df__3[[#This Row],[available]]-correct_ratio_df__3[[#This Row],[stable]]</f>
        <v>0</v>
      </c>
    </row>
    <row r="427" spans="1:12" x14ac:dyDescent="0.2">
      <c r="A427">
        <v>425</v>
      </c>
      <c r="B427" s="2" t="s">
        <v>66</v>
      </c>
      <c r="C427" s="2" t="s">
        <v>14</v>
      </c>
      <c r="D427" s="2" t="s">
        <v>18</v>
      </c>
      <c r="E427" s="2" t="s">
        <v>15</v>
      </c>
      <c r="F427" s="2" t="s">
        <v>31</v>
      </c>
      <c r="G427">
        <v>1</v>
      </c>
      <c r="H427" s="2" t="s">
        <v>30</v>
      </c>
      <c r="I427" s="2" t="s">
        <v>87</v>
      </c>
      <c r="J427">
        <v>1</v>
      </c>
      <c r="K427">
        <v>1</v>
      </c>
      <c r="L427">
        <f>correct_ratio_df__3[[#This Row],[available]]-correct_ratio_df__3[[#This Row],[stable]]</f>
        <v>0</v>
      </c>
    </row>
    <row r="428" spans="1:12" x14ac:dyDescent="0.2">
      <c r="A428">
        <v>426</v>
      </c>
      <c r="B428" s="2" t="s">
        <v>67</v>
      </c>
      <c r="C428" s="2" t="s">
        <v>9</v>
      </c>
      <c r="D428" s="2" t="s">
        <v>17</v>
      </c>
      <c r="E428" s="2" t="s">
        <v>21</v>
      </c>
      <c r="F428" s="2" t="s">
        <v>31</v>
      </c>
      <c r="G428">
        <v>1</v>
      </c>
      <c r="H428" s="2" t="s">
        <v>30</v>
      </c>
      <c r="I428" s="2" t="s">
        <v>87</v>
      </c>
      <c r="J428">
        <v>1</v>
      </c>
      <c r="K428">
        <v>1</v>
      </c>
      <c r="L428">
        <f>correct_ratio_df__3[[#This Row],[available]]-correct_ratio_df__3[[#This Row],[stable]]</f>
        <v>0</v>
      </c>
    </row>
    <row r="429" spans="1:12" x14ac:dyDescent="0.2">
      <c r="A429">
        <v>427</v>
      </c>
      <c r="B429" s="2" t="s">
        <v>68</v>
      </c>
      <c r="C429" s="2" t="s">
        <v>14</v>
      </c>
      <c r="D429" s="2" t="s">
        <v>17</v>
      </c>
      <c r="E429" s="2" t="s">
        <v>15</v>
      </c>
      <c r="F429" s="2" t="s">
        <v>31</v>
      </c>
      <c r="G429">
        <v>1</v>
      </c>
      <c r="H429" s="2" t="s">
        <v>30</v>
      </c>
      <c r="I429" s="2" t="s">
        <v>87</v>
      </c>
      <c r="J429">
        <v>1</v>
      </c>
      <c r="K429">
        <v>1</v>
      </c>
      <c r="L429">
        <f>correct_ratio_df__3[[#This Row],[available]]-correct_ratio_df__3[[#This Row],[stable]]</f>
        <v>0</v>
      </c>
    </row>
    <row r="430" spans="1:12" x14ac:dyDescent="0.2">
      <c r="A430">
        <v>428</v>
      </c>
      <c r="B430" s="2" t="s">
        <v>69</v>
      </c>
      <c r="C430" s="2" t="s">
        <v>22</v>
      </c>
      <c r="D430" s="2" t="s">
        <v>17</v>
      </c>
      <c r="E430" s="2" t="s">
        <v>11</v>
      </c>
      <c r="F430" s="2" t="s">
        <v>31</v>
      </c>
      <c r="G430">
        <v>0</v>
      </c>
      <c r="H430" s="2" t="s">
        <v>30</v>
      </c>
      <c r="I430" s="2" t="s">
        <v>87</v>
      </c>
      <c r="J430">
        <v>0</v>
      </c>
      <c r="K430">
        <v>0</v>
      </c>
      <c r="L430">
        <f>correct_ratio_df__3[[#This Row],[available]]-correct_ratio_df__3[[#This Row],[stable]]</f>
        <v>0</v>
      </c>
    </row>
    <row r="431" spans="1:12" x14ac:dyDescent="0.2">
      <c r="A431">
        <v>429</v>
      </c>
      <c r="B431" s="2" t="s">
        <v>70</v>
      </c>
      <c r="C431" s="2" t="s">
        <v>9</v>
      </c>
      <c r="D431" s="2" t="s">
        <v>17</v>
      </c>
      <c r="E431" s="2" t="s">
        <v>15</v>
      </c>
      <c r="F431" s="2" t="s">
        <v>31</v>
      </c>
      <c r="G431">
        <v>1</v>
      </c>
      <c r="H431" s="2" t="s">
        <v>30</v>
      </c>
      <c r="I431" s="2" t="s">
        <v>87</v>
      </c>
      <c r="J431">
        <v>1</v>
      </c>
      <c r="K431">
        <v>1</v>
      </c>
      <c r="L431">
        <f>correct_ratio_df__3[[#This Row],[available]]-correct_ratio_df__3[[#This Row],[stable]]</f>
        <v>0</v>
      </c>
    </row>
    <row r="432" spans="1:12" x14ac:dyDescent="0.2">
      <c r="A432">
        <v>430</v>
      </c>
      <c r="B432" s="2" t="s">
        <v>71</v>
      </c>
      <c r="C432" s="2" t="s">
        <v>9</v>
      </c>
      <c r="D432" s="2" t="s">
        <v>17</v>
      </c>
      <c r="E432" s="2" t="s">
        <v>21</v>
      </c>
      <c r="F432" s="2" t="s">
        <v>31</v>
      </c>
      <c r="G432">
        <v>0</v>
      </c>
      <c r="H432" s="2" t="s">
        <v>30</v>
      </c>
      <c r="I432" s="2" t="s">
        <v>87</v>
      </c>
      <c r="J432">
        <v>0</v>
      </c>
      <c r="K432">
        <v>0</v>
      </c>
      <c r="L432">
        <f>correct_ratio_df__3[[#This Row],[available]]-correct_ratio_df__3[[#This Row],[stable]]</f>
        <v>0</v>
      </c>
    </row>
    <row r="433" spans="1:12" x14ac:dyDescent="0.2">
      <c r="A433">
        <v>431</v>
      </c>
      <c r="B433" s="2" t="s">
        <v>72</v>
      </c>
      <c r="C433" s="2" t="s">
        <v>19</v>
      </c>
      <c r="D433" s="2" t="s">
        <v>17</v>
      </c>
      <c r="E433" s="2" t="s">
        <v>11</v>
      </c>
      <c r="F433" s="2" t="s">
        <v>31</v>
      </c>
      <c r="G433">
        <v>1</v>
      </c>
      <c r="H433" s="2" t="s">
        <v>30</v>
      </c>
      <c r="I433" s="2" t="s">
        <v>87</v>
      </c>
      <c r="J433">
        <v>1</v>
      </c>
      <c r="K433">
        <v>1</v>
      </c>
      <c r="L433">
        <f>correct_ratio_df__3[[#This Row],[available]]-correct_ratio_df__3[[#This Row],[stable]]</f>
        <v>0</v>
      </c>
    </row>
    <row r="434" spans="1:12" x14ac:dyDescent="0.2">
      <c r="A434">
        <v>432</v>
      </c>
      <c r="B434" s="2" t="s">
        <v>73</v>
      </c>
      <c r="C434" s="2" t="s">
        <v>16</v>
      </c>
      <c r="D434" s="2" t="s">
        <v>17</v>
      </c>
      <c r="E434" s="2" t="s">
        <v>11</v>
      </c>
      <c r="F434" s="2" t="s">
        <v>31</v>
      </c>
      <c r="G434">
        <v>1</v>
      </c>
      <c r="H434" s="2" t="s">
        <v>30</v>
      </c>
      <c r="I434" s="2" t="s">
        <v>87</v>
      </c>
      <c r="J434">
        <v>1</v>
      </c>
      <c r="K434">
        <v>1</v>
      </c>
      <c r="L434">
        <f>correct_ratio_df__3[[#This Row],[available]]-correct_ratio_df__3[[#This Row],[stable]]</f>
        <v>0</v>
      </c>
    </row>
    <row r="435" spans="1:12" x14ac:dyDescent="0.2">
      <c r="A435">
        <v>433</v>
      </c>
      <c r="B435" s="2" t="s">
        <v>74</v>
      </c>
      <c r="C435" s="2" t="s">
        <v>22</v>
      </c>
      <c r="D435" s="2" t="s">
        <v>17</v>
      </c>
      <c r="E435" s="2" t="s">
        <v>21</v>
      </c>
      <c r="F435" s="2" t="s">
        <v>31</v>
      </c>
      <c r="G435">
        <v>1</v>
      </c>
      <c r="H435" s="2" t="s">
        <v>30</v>
      </c>
      <c r="I435" s="2" t="s">
        <v>87</v>
      </c>
      <c r="J435">
        <v>1</v>
      </c>
      <c r="K435">
        <v>1</v>
      </c>
      <c r="L435">
        <f>correct_ratio_df__3[[#This Row],[available]]-correct_ratio_df__3[[#This Row],[stable]]</f>
        <v>0</v>
      </c>
    </row>
    <row r="436" spans="1:12" x14ac:dyDescent="0.2">
      <c r="A436">
        <v>434</v>
      </c>
      <c r="B436" s="2" t="s">
        <v>75</v>
      </c>
      <c r="C436" s="2" t="s">
        <v>14</v>
      </c>
      <c r="D436" s="2" t="s">
        <v>17</v>
      </c>
      <c r="E436" s="2" t="s">
        <v>21</v>
      </c>
      <c r="F436" s="2" t="s">
        <v>31</v>
      </c>
      <c r="G436">
        <v>1</v>
      </c>
      <c r="H436" s="2" t="s">
        <v>30</v>
      </c>
      <c r="I436" s="2" t="s">
        <v>87</v>
      </c>
      <c r="J436">
        <v>1</v>
      </c>
      <c r="K436">
        <v>1</v>
      </c>
      <c r="L436">
        <f>correct_ratio_df__3[[#This Row],[available]]-correct_ratio_df__3[[#This Row],[stable]]</f>
        <v>0</v>
      </c>
    </row>
    <row r="437" spans="1:12" x14ac:dyDescent="0.2">
      <c r="A437">
        <v>435</v>
      </c>
      <c r="B437" s="2" t="s">
        <v>76</v>
      </c>
      <c r="C437" s="2" t="s">
        <v>14</v>
      </c>
      <c r="D437" s="2" t="s">
        <v>10</v>
      </c>
      <c r="E437" s="2" t="s">
        <v>21</v>
      </c>
      <c r="F437" s="2" t="s">
        <v>31</v>
      </c>
      <c r="G437">
        <v>1</v>
      </c>
      <c r="H437" s="2" t="s">
        <v>30</v>
      </c>
      <c r="I437" s="2" t="s">
        <v>87</v>
      </c>
      <c r="J437">
        <v>1</v>
      </c>
      <c r="K437">
        <v>1</v>
      </c>
      <c r="L437">
        <f>correct_ratio_df__3[[#This Row],[available]]-correct_ratio_df__3[[#This Row],[stable]]</f>
        <v>0</v>
      </c>
    </row>
    <row r="438" spans="1:12" x14ac:dyDescent="0.2">
      <c r="A438">
        <v>436</v>
      </c>
      <c r="B438" s="2" t="s">
        <v>77</v>
      </c>
      <c r="C438" s="2" t="s">
        <v>9</v>
      </c>
      <c r="D438" s="2" t="s">
        <v>17</v>
      </c>
      <c r="E438" s="2" t="s">
        <v>15</v>
      </c>
      <c r="F438" s="2" t="s">
        <v>31</v>
      </c>
      <c r="G438">
        <v>0</v>
      </c>
      <c r="H438" s="2" t="s">
        <v>30</v>
      </c>
      <c r="I438" s="2" t="s">
        <v>87</v>
      </c>
      <c r="J438">
        <v>0</v>
      </c>
      <c r="K438">
        <v>0</v>
      </c>
      <c r="L438">
        <f>correct_ratio_df__3[[#This Row],[available]]-correct_ratio_df__3[[#This Row],[stable]]</f>
        <v>0</v>
      </c>
    </row>
    <row r="439" spans="1:12" x14ac:dyDescent="0.2">
      <c r="A439">
        <v>437</v>
      </c>
      <c r="B439" s="2" t="s">
        <v>78</v>
      </c>
      <c r="C439" s="2" t="s">
        <v>9</v>
      </c>
      <c r="D439" s="2" t="s">
        <v>17</v>
      </c>
      <c r="E439" s="2" t="s">
        <v>21</v>
      </c>
      <c r="F439" s="2" t="s">
        <v>31</v>
      </c>
      <c r="G439">
        <v>1</v>
      </c>
      <c r="H439" s="2" t="s">
        <v>30</v>
      </c>
      <c r="I439" s="2" t="s">
        <v>87</v>
      </c>
      <c r="J439">
        <v>1</v>
      </c>
      <c r="K439">
        <v>1</v>
      </c>
      <c r="L439">
        <f>correct_ratio_df__3[[#This Row],[available]]-correct_ratio_df__3[[#This Row],[stable]]</f>
        <v>0</v>
      </c>
    </row>
    <row r="440" spans="1:12" x14ac:dyDescent="0.2">
      <c r="A440">
        <v>438</v>
      </c>
      <c r="B440" s="2" t="s">
        <v>79</v>
      </c>
      <c r="C440" s="2" t="s">
        <v>14</v>
      </c>
      <c r="D440" s="2" t="s">
        <v>17</v>
      </c>
      <c r="E440" s="2" t="s">
        <v>11</v>
      </c>
      <c r="F440" s="2" t="s">
        <v>31</v>
      </c>
      <c r="G440">
        <v>1</v>
      </c>
      <c r="H440" s="2" t="s">
        <v>30</v>
      </c>
      <c r="I440" s="2" t="s">
        <v>87</v>
      </c>
      <c r="J440">
        <v>1</v>
      </c>
      <c r="K440">
        <v>1</v>
      </c>
      <c r="L440">
        <f>correct_ratio_df__3[[#This Row],[available]]-correct_ratio_df__3[[#This Row],[stable]]</f>
        <v>0</v>
      </c>
    </row>
    <row r="441" spans="1:12" x14ac:dyDescent="0.2">
      <c r="A441">
        <v>439</v>
      </c>
      <c r="B441" s="2" t="s">
        <v>80</v>
      </c>
      <c r="C441" s="2" t="s">
        <v>22</v>
      </c>
      <c r="D441" s="2" t="s">
        <v>20</v>
      </c>
      <c r="E441" s="2" t="s">
        <v>11</v>
      </c>
      <c r="F441" s="2" t="s">
        <v>31</v>
      </c>
      <c r="G441">
        <v>0</v>
      </c>
      <c r="H441" s="2" t="s">
        <v>30</v>
      </c>
      <c r="I441" s="2" t="s">
        <v>87</v>
      </c>
      <c r="J441">
        <v>0</v>
      </c>
      <c r="K441">
        <v>0</v>
      </c>
      <c r="L441">
        <f>correct_ratio_df__3[[#This Row],[available]]-correct_ratio_df__3[[#This Row],[stable]]</f>
        <v>0</v>
      </c>
    </row>
    <row r="442" spans="1:12" x14ac:dyDescent="0.2">
      <c r="A442">
        <v>440</v>
      </c>
      <c r="B442" s="2" t="s">
        <v>41</v>
      </c>
      <c r="C442" s="2" t="s">
        <v>9</v>
      </c>
      <c r="D442" s="2" t="s">
        <v>10</v>
      </c>
      <c r="E442" s="2" t="s">
        <v>11</v>
      </c>
      <c r="F442" s="2" t="s">
        <v>32</v>
      </c>
      <c r="G442">
        <v>1</v>
      </c>
      <c r="H442" s="2" t="s">
        <v>30</v>
      </c>
      <c r="I442" s="2" t="s">
        <v>85</v>
      </c>
      <c r="J442">
        <v>1</v>
      </c>
      <c r="K442">
        <v>1</v>
      </c>
      <c r="L442">
        <f>correct_ratio_df__3[[#This Row],[available]]-correct_ratio_df__3[[#This Row],[stable]]</f>
        <v>0</v>
      </c>
    </row>
    <row r="443" spans="1:12" x14ac:dyDescent="0.2">
      <c r="A443">
        <v>441</v>
      </c>
      <c r="B443" s="2" t="s">
        <v>42</v>
      </c>
      <c r="C443" s="2" t="s">
        <v>14</v>
      </c>
      <c r="D443" s="2" t="s">
        <v>10</v>
      </c>
      <c r="E443" s="2" t="s">
        <v>15</v>
      </c>
      <c r="F443" s="2" t="s">
        <v>32</v>
      </c>
      <c r="G443">
        <v>1</v>
      </c>
      <c r="H443" s="2" t="s">
        <v>30</v>
      </c>
      <c r="I443" s="2" t="s">
        <v>85</v>
      </c>
      <c r="J443">
        <v>1</v>
      </c>
      <c r="K443">
        <v>1</v>
      </c>
      <c r="L443">
        <f>correct_ratio_df__3[[#This Row],[available]]-correct_ratio_df__3[[#This Row],[stable]]</f>
        <v>0</v>
      </c>
    </row>
    <row r="444" spans="1:12" x14ac:dyDescent="0.2">
      <c r="A444">
        <v>442</v>
      </c>
      <c r="B444" s="2" t="s">
        <v>43</v>
      </c>
      <c r="C444" s="2" t="s">
        <v>16</v>
      </c>
      <c r="D444" s="2" t="s">
        <v>17</v>
      </c>
      <c r="E444" s="2" t="s">
        <v>11</v>
      </c>
      <c r="F444" s="2" t="s">
        <v>32</v>
      </c>
      <c r="G444">
        <v>1</v>
      </c>
      <c r="H444" s="2" t="s">
        <v>30</v>
      </c>
      <c r="I444" s="2" t="s">
        <v>85</v>
      </c>
      <c r="J444">
        <v>1</v>
      </c>
      <c r="K444">
        <v>1</v>
      </c>
      <c r="L444">
        <f>correct_ratio_df__3[[#This Row],[available]]-correct_ratio_df__3[[#This Row],[stable]]</f>
        <v>0</v>
      </c>
    </row>
    <row r="445" spans="1:12" x14ac:dyDescent="0.2">
      <c r="A445">
        <v>443</v>
      </c>
      <c r="B445" s="2" t="s">
        <v>44</v>
      </c>
      <c r="C445" s="2" t="s">
        <v>16</v>
      </c>
      <c r="D445" s="2" t="s">
        <v>10</v>
      </c>
      <c r="E445" s="2" t="s">
        <v>15</v>
      </c>
      <c r="F445" s="2" t="s">
        <v>32</v>
      </c>
      <c r="G445">
        <v>0.66666666666666663</v>
      </c>
      <c r="H445" s="2" t="s">
        <v>30</v>
      </c>
      <c r="I445" s="2" t="s">
        <v>85</v>
      </c>
      <c r="J445">
        <v>1</v>
      </c>
      <c r="K445">
        <v>0</v>
      </c>
      <c r="L445">
        <f>correct_ratio_df__3[[#This Row],[available]]-correct_ratio_df__3[[#This Row],[stable]]</f>
        <v>1</v>
      </c>
    </row>
    <row r="446" spans="1:12" x14ac:dyDescent="0.2">
      <c r="A446">
        <v>444</v>
      </c>
      <c r="B446" s="2" t="s">
        <v>45</v>
      </c>
      <c r="C446" s="2" t="s">
        <v>14</v>
      </c>
      <c r="D446" s="2" t="s">
        <v>18</v>
      </c>
      <c r="E446" s="2" t="s">
        <v>15</v>
      </c>
      <c r="F446" s="2" t="s">
        <v>32</v>
      </c>
      <c r="G446">
        <v>1</v>
      </c>
      <c r="H446" s="2" t="s">
        <v>30</v>
      </c>
      <c r="I446" s="2" t="s">
        <v>85</v>
      </c>
      <c r="J446">
        <v>1</v>
      </c>
      <c r="K446">
        <v>1</v>
      </c>
      <c r="L446">
        <f>correct_ratio_df__3[[#This Row],[available]]-correct_ratio_df__3[[#This Row],[stable]]</f>
        <v>0</v>
      </c>
    </row>
    <row r="447" spans="1:12" x14ac:dyDescent="0.2">
      <c r="A447">
        <v>445</v>
      </c>
      <c r="B447" s="2" t="s">
        <v>46</v>
      </c>
      <c r="C447" s="2" t="s">
        <v>14</v>
      </c>
      <c r="D447" s="2" t="s">
        <v>10</v>
      </c>
      <c r="E447" s="2" t="s">
        <v>15</v>
      </c>
      <c r="F447" s="2" t="s">
        <v>32</v>
      </c>
      <c r="G447">
        <v>0.66666666666666663</v>
      </c>
      <c r="H447" s="2" t="s">
        <v>30</v>
      </c>
      <c r="I447" s="2" t="s">
        <v>85</v>
      </c>
      <c r="J447">
        <v>1</v>
      </c>
      <c r="K447">
        <v>0</v>
      </c>
      <c r="L447">
        <f>correct_ratio_df__3[[#This Row],[available]]-correct_ratio_df__3[[#This Row],[stable]]</f>
        <v>1</v>
      </c>
    </row>
    <row r="448" spans="1:12" x14ac:dyDescent="0.2">
      <c r="A448">
        <v>446</v>
      </c>
      <c r="B448" s="2" t="s">
        <v>47</v>
      </c>
      <c r="C448" s="2" t="s">
        <v>19</v>
      </c>
      <c r="D448" s="2" t="s">
        <v>10</v>
      </c>
      <c r="E448" s="2" t="s">
        <v>15</v>
      </c>
      <c r="F448" s="2" t="s">
        <v>32</v>
      </c>
      <c r="G448">
        <v>1</v>
      </c>
      <c r="H448" s="2" t="s">
        <v>30</v>
      </c>
      <c r="I448" s="2" t="s">
        <v>85</v>
      </c>
      <c r="J448">
        <v>1</v>
      </c>
      <c r="K448">
        <v>1</v>
      </c>
      <c r="L448">
        <f>correct_ratio_df__3[[#This Row],[available]]-correct_ratio_df__3[[#This Row],[stable]]</f>
        <v>0</v>
      </c>
    </row>
    <row r="449" spans="1:12" x14ac:dyDescent="0.2">
      <c r="A449">
        <v>447</v>
      </c>
      <c r="B449" s="2" t="s">
        <v>48</v>
      </c>
      <c r="C449" s="2" t="s">
        <v>16</v>
      </c>
      <c r="D449" s="2" t="s">
        <v>20</v>
      </c>
      <c r="E449" s="2" t="s">
        <v>21</v>
      </c>
      <c r="F449" s="2" t="s">
        <v>32</v>
      </c>
      <c r="G449">
        <v>1</v>
      </c>
      <c r="H449" s="2" t="s">
        <v>30</v>
      </c>
      <c r="I449" s="2" t="s">
        <v>85</v>
      </c>
      <c r="J449">
        <v>1</v>
      </c>
      <c r="K449">
        <v>1</v>
      </c>
      <c r="L449">
        <f>correct_ratio_df__3[[#This Row],[available]]-correct_ratio_df__3[[#This Row],[stable]]</f>
        <v>0</v>
      </c>
    </row>
    <row r="450" spans="1:12" x14ac:dyDescent="0.2">
      <c r="A450">
        <v>448</v>
      </c>
      <c r="B450" s="2" t="s">
        <v>49</v>
      </c>
      <c r="C450" s="2" t="s">
        <v>16</v>
      </c>
      <c r="D450" s="2" t="s">
        <v>10</v>
      </c>
      <c r="E450" s="2" t="s">
        <v>21</v>
      </c>
      <c r="F450" s="2" t="s">
        <v>32</v>
      </c>
      <c r="G450">
        <v>1</v>
      </c>
      <c r="H450" s="2" t="s">
        <v>30</v>
      </c>
      <c r="I450" s="2" t="s">
        <v>85</v>
      </c>
      <c r="J450">
        <v>1</v>
      </c>
      <c r="K450">
        <v>1</v>
      </c>
      <c r="L450">
        <f>correct_ratio_df__3[[#This Row],[available]]-correct_ratio_df__3[[#This Row],[stable]]</f>
        <v>0</v>
      </c>
    </row>
    <row r="451" spans="1:12" x14ac:dyDescent="0.2">
      <c r="A451">
        <v>449</v>
      </c>
      <c r="B451" s="2" t="s">
        <v>50</v>
      </c>
      <c r="C451" s="2" t="s">
        <v>9</v>
      </c>
      <c r="D451" s="2" t="s">
        <v>17</v>
      </c>
      <c r="E451" s="2" t="s">
        <v>21</v>
      </c>
      <c r="F451" s="2" t="s">
        <v>32</v>
      </c>
      <c r="G451">
        <v>0</v>
      </c>
      <c r="H451" s="2" t="s">
        <v>30</v>
      </c>
      <c r="I451" s="2" t="s">
        <v>85</v>
      </c>
      <c r="J451">
        <v>0</v>
      </c>
      <c r="K451">
        <v>0</v>
      </c>
      <c r="L451">
        <f>correct_ratio_df__3[[#This Row],[available]]-correct_ratio_df__3[[#This Row],[stable]]</f>
        <v>0</v>
      </c>
    </row>
    <row r="452" spans="1:12" x14ac:dyDescent="0.2">
      <c r="A452">
        <v>450</v>
      </c>
      <c r="B452" s="2" t="s">
        <v>51</v>
      </c>
      <c r="C452" s="2" t="s">
        <v>16</v>
      </c>
      <c r="D452" s="2" t="s">
        <v>17</v>
      </c>
      <c r="E452" s="2" t="s">
        <v>11</v>
      </c>
      <c r="F452" s="2" t="s">
        <v>32</v>
      </c>
      <c r="G452">
        <v>1</v>
      </c>
      <c r="H452" s="2" t="s">
        <v>30</v>
      </c>
      <c r="I452" s="2" t="s">
        <v>85</v>
      </c>
      <c r="J452">
        <v>1</v>
      </c>
      <c r="K452">
        <v>1</v>
      </c>
      <c r="L452">
        <f>correct_ratio_df__3[[#This Row],[available]]-correct_ratio_df__3[[#This Row],[stable]]</f>
        <v>0</v>
      </c>
    </row>
    <row r="453" spans="1:12" x14ac:dyDescent="0.2">
      <c r="A453">
        <v>451</v>
      </c>
      <c r="B453" s="2" t="s">
        <v>52</v>
      </c>
      <c r="C453" s="2" t="s">
        <v>9</v>
      </c>
      <c r="D453" s="2" t="s">
        <v>17</v>
      </c>
      <c r="E453" s="2" t="s">
        <v>15</v>
      </c>
      <c r="F453" s="2" t="s">
        <v>32</v>
      </c>
      <c r="G453">
        <v>1</v>
      </c>
      <c r="H453" s="2" t="s">
        <v>30</v>
      </c>
      <c r="I453" s="2" t="s">
        <v>85</v>
      </c>
      <c r="J453">
        <v>1</v>
      </c>
      <c r="K453">
        <v>1</v>
      </c>
      <c r="L453">
        <f>correct_ratio_df__3[[#This Row],[available]]-correct_ratio_df__3[[#This Row],[stable]]</f>
        <v>0</v>
      </c>
    </row>
    <row r="454" spans="1:12" x14ac:dyDescent="0.2">
      <c r="A454">
        <v>452</v>
      </c>
      <c r="B454" s="2" t="s">
        <v>53</v>
      </c>
      <c r="C454" s="2" t="s">
        <v>19</v>
      </c>
      <c r="D454" s="2" t="s">
        <v>17</v>
      </c>
      <c r="E454" s="2" t="s">
        <v>21</v>
      </c>
      <c r="F454" s="2" t="s">
        <v>32</v>
      </c>
      <c r="G454">
        <v>0.66666666666666663</v>
      </c>
      <c r="H454" s="2" t="s">
        <v>30</v>
      </c>
      <c r="I454" s="2" t="s">
        <v>85</v>
      </c>
      <c r="J454">
        <v>1</v>
      </c>
      <c r="K454">
        <v>0</v>
      </c>
      <c r="L454">
        <f>correct_ratio_df__3[[#This Row],[available]]-correct_ratio_df__3[[#This Row],[stable]]</f>
        <v>1</v>
      </c>
    </row>
    <row r="455" spans="1:12" x14ac:dyDescent="0.2">
      <c r="A455">
        <v>453</v>
      </c>
      <c r="B455" s="2" t="s">
        <v>54</v>
      </c>
      <c r="C455" s="2" t="s">
        <v>14</v>
      </c>
      <c r="D455" s="2" t="s">
        <v>17</v>
      </c>
      <c r="E455" s="2" t="s">
        <v>15</v>
      </c>
      <c r="F455" s="2" t="s">
        <v>32</v>
      </c>
      <c r="G455">
        <v>0.66666666666666663</v>
      </c>
      <c r="H455" s="2" t="s">
        <v>30</v>
      </c>
      <c r="I455" s="2" t="s">
        <v>85</v>
      </c>
      <c r="J455">
        <v>1</v>
      </c>
      <c r="K455">
        <v>0</v>
      </c>
      <c r="L455">
        <f>correct_ratio_df__3[[#This Row],[available]]-correct_ratio_df__3[[#This Row],[stable]]</f>
        <v>1</v>
      </c>
    </row>
    <row r="456" spans="1:12" x14ac:dyDescent="0.2">
      <c r="A456">
        <v>454</v>
      </c>
      <c r="B456" s="2" t="s">
        <v>55</v>
      </c>
      <c r="C456" s="2" t="s">
        <v>9</v>
      </c>
      <c r="D456" s="2" t="s">
        <v>18</v>
      </c>
      <c r="E456" s="2" t="s">
        <v>21</v>
      </c>
      <c r="F456" s="2" t="s">
        <v>32</v>
      </c>
      <c r="G456">
        <v>0.33333333333333331</v>
      </c>
      <c r="H456" s="2" t="s">
        <v>30</v>
      </c>
      <c r="I456" s="2" t="s">
        <v>85</v>
      </c>
      <c r="J456">
        <v>1</v>
      </c>
      <c r="K456">
        <v>0</v>
      </c>
      <c r="L456">
        <f>correct_ratio_df__3[[#This Row],[available]]-correct_ratio_df__3[[#This Row],[stable]]</f>
        <v>1</v>
      </c>
    </row>
    <row r="457" spans="1:12" x14ac:dyDescent="0.2">
      <c r="A457">
        <v>455</v>
      </c>
      <c r="B457" s="2" t="s">
        <v>56</v>
      </c>
      <c r="C457" s="2" t="s">
        <v>19</v>
      </c>
      <c r="D457" s="2" t="s">
        <v>17</v>
      </c>
      <c r="E457" s="2" t="s">
        <v>21</v>
      </c>
      <c r="F457" s="2" t="s">
        <v>32</v>
      </c>
      <c r="G457">
        <v>0.33333333333333331</v>
      </c>
      <c r="H457" s="2" t="s">
        <v>30</v>
      </c>
      <c r="I457" s="2" t="s">
        <v>85</v>
      </c>
      <c r="J457">
        <v>1</v>
      </c>
      <c r="K457">
        <v>0</v>
      </c>
      <c r="L457">
        <f>correct_ratio_df__3[[#This Row],[available]]-correct_ratio_df__3[[#This Row],[stable]]</f>
        <v>1</v>
      </c>
    </row>
    <row r="458" spans="1:12" x14ac:dyDescent="0.2">
      <c r="A458">
        <v>456</v>
      </c>
      <c r="B458" s="2" t="s">
        <v>57</v>
      </c>
      <c r="C458" s="2" t="s">
        <v>9</v>
      </c>
      <c r="D458" s="2" t="s">
        <v>17</v>
      </c>
      <c r="E458" s="2" t="s">
        <v>21</v>
      </c>
      <c r="F458" s="2" t="s">
        <v>32</v>
      </c>
      <c r="G458">
        <v>0</v>
      </c>
      <c r="H458" s="2" t="s">
        <v>30</v>
      </c>
      <c r="I458" s="2" t="s">
        <v>85</v>
      </c>
      <c r="J458">
        <v>0</v>
      </c>
      <c r="K458">
        <v>0</v>
      </c>
      <c r="L458">
        <f>correct_ratio_df__3[[#This Row],[available]]-correct_ratio_df__3[[#This Row],[stable]]</f>
        <v>0</v>
      </c>
    </row>
    <row r="459" spans="1:12" x14ac:dyDescent="0.2">
      <c r="A459">
        <v>457</v>
      </c>
      <c r="B459" s="2" t="s">
        <v>58</v>
      </c>
      <c r="C459" s="2" t="s">
        <v>9</v>
      </c>
      <c r="D459" s="2" t="s">
        <v>17</v>
      </c>
      <c r="E459" s="2" t="s">
        <v>21</v>
      </c>
      <c r="F459" s="2" t="s">
        <v>32</v>
      </c>
      <c r="G459">
        <v>0</v>
      </c>
      <c r="H459" s="2" t="s">
        <v>30</v>
      </c>
      <c r="I459" s="2" t="s">
        <v>85</v>
      </c>
      <c r="J459">
        <v>0</v>
      </c>
      <c r="K459">
        <v>0</v>
      </c>
      <c r="L459">
        <f>correct_ratio_df__3[[#This Row],[available]]-correct_ratio_df__3[[#This Row],[stable]]</f>
        <v>0</v>
      </c>
    </row>
    <row r="460" spans="1:12" x14ac:dyDescent="0.2">
      <c r="A460">
        <v>458</v>
      </c>
      <c r="B460" s="2" t="s">
        <v>59</v>
      </c>
      <c r="C460" s="2" t="s">
        <v>19</v>
      </c>
      <c r="D460" s="2" t="s">
        <v>17</v>
      </c>
      <c r="E460" s="2" t="s">
        <v>15</v>
      </c>
      <c r="F460" s="2" t="s">
        <v>32</v>
      </c>
      <c r="G460">
        <v>1</v>
      </c>
      <c r="H460" s="2" t="s">
        <v>30</v>
      </c>
      <c r="I460" s="2" t="s">
        <v>85</v>
      </c>
      <c r="J460">
        <v>1</v>
      </c>
      <c r="K460">
        <v>1</v>
      </c>
      <c r="L460">
        <f>correct_ratio_df__3[[#This Row],[available]]-correct_ratio_df__3[[#This Row],[stable]]</f>
        <v>0</v>
      </c>
    </row>
    <row r="461" spans="1:12" x14ac:dyDescent="0.2">
      <c r="A461">
        <v>459</v>
      </c>
      <c r="B461" s="2" t="s">
        <v>60</v>
      </c>
      <c r="C461" s="2" t="s">
        <v>9</v>
      </c>
      <c r="D461" s="2" t="s">
        <v>17</v>
      </c>
      <c r="E461" s="2" t="s">
        <v>21</v>
      </c>
      <c r="F461" s="2" t="s">
        <v>32</v>
      </c>
      <c r="G461">
        <v>0.33333333333333331</v>
      </c>
      <c r="H461" s="2" t="s">
        <v>30</v>
      </c>
      <c r="I461" s="2" t="s">
        <v>85</v>
      </c>
      <c r="J461">
        <v>1</v>
      </c>
      <c r="K461">
        <v>0</v>
      </c>
      <c r="L461">
        <f>correct_ratio_df__3[[#This Row],[available]]-correct_ratio_df__3[[#This Row],[stable]]</f>
        <v>1</v>
      </c>
    </row>
    <row r="462" spans="1:12" x14ac:dyDescent="0.2">
      <c r="A462">
        <v>460</v>
      </c>
      <c r="B462" s="2" t="s">
        <v>61</v>
      </c>
      <c r="C462" s="2" t="s">
        <v>14</v>
      </c>
      <c r="D462" s="2" t="s">
        <v>10</v>
      </c>
      <c r="E462" s="2" t="s">
        <v>11</v>
      </c>
      <c r="F462" s="2" t="s">
        <v>32</v>
      </c>
      <c r="G462">
        <v>1</v>
      </c>
      <c r="H462" s="2" t="s">
        <v>30</v>
      </c>
      <c r="I462" s="2" t="s">
        <v>85</v>
      </c>
      <c r="J462">
        <v>1</v>
      </c>
      <c r="K462">
        <v>1</v>
      </c>
      <c r="L462">
        <f>correct_ratio_df__3[[#This Row],[available]]-correct_ratio_df__3[[#This Row],[stable]]</f>
        <v>0</v>
      </c>
    </row>
    <row r="463" spans="1:12" x14ac:dyDescent="0.2">
      <c r="A463">
        <v>461</v>
      </c>
      <c r="B463" s="2" t="s">
        <v>62</v>
      </c>
      <c r="C463" s="2" t="s">
        <v>16</v>
      </c>
      <c r="D463" s="2" t="s">
        <v>18</v>
      </c>
      <c r="E463" s="2" t="s">
        <v>11</v>
      </c>
      <c r="F463" s="2" t="s">
        <v>32</v>
      </c>
      <c r="G463">
        <v>0</v>
      </c>
      <c r="H463" s="2" t="s">
        <v>30</v>
      </c>
      <c r="I463" s="2" t="s">
        <v>85</v>
      </c>
      <c r="J463">
        <v>0</v>
      </c>
      <c r="K463">
        <v>0</v>
      </c>
      <c r="L463">
        <f>correct_ratio_df__3[[#This Row],[available]]-correct_ratio_df__3[[#This Row],[stable]]</f>
        <v>0</v>
      </c>
    </row>
    <row r="464" spans="1:12" x14ac:dyDescent="0.2">
      <c r="A464">
        <v>462</v>
      </c>
      <c r="B464" s="2" t="s">
        <v>63</v>
      </c>
      <c r="C464" s="2" t="s">
        <v>9</v>
      </c>
      <c r="D464" s="2" t="s">
        <v>20</v>
      </c>
      <c r="E464" s="2" t="s">
        <v>15</v>
      </c>
      <c r="F464" s="2" t="s">
        <v>32</v>
      </c>
      <c r="G464">
        <v>0</v>
      </c>
      <c r="H464" s="2" t="s">
        <v>30</v>
      </c>
      <c r="I464" s="2" t="s">
        <v>85</v>
      </c>
      <c r="J464">
        <v>0</v>
      </c>
      <c r="K464">
        <v>0</v>
      </c>
      <c r="L464">
        <f>correct_ratio_df__3[[#This Row],[available]]-correct_ratio_df__3[[#This Row],[stable]]</f>
        <v>0</v>
      </c>
    </row>
    <row r="465" spans="1:12" x14ac:dyDescent="0.2">
      <c r="A465">
        <v>463</v>
      </c>
      <c r="B465" s="2" t="s">
        <v>64</v>
      </c>
      <c r="C465" s="2" t="s">
        <v>14</v>
      </c>
      <c r="D465" s="2" t="s">
        <v>17</v>
      </c>
      <c r="E465" s="2" t="s">
        <v>11</v>
      </c>
      <c r="F465" s="2" t="s">
        <v>32</v>
      </c>
      <c r="G465">
        <v>1</v>
      </c>
      <c r="H465" s="2" t="s">
        <v>30</v>
      </c>
      <c r="I465" s="2" t="s">
        <v>85</v>
      </c>
      <c r="J465">
        <v>1</v>
      </c>
      <c r="K465">
        <v>1</v>
      </c>
      <c r="L465">
        <f>correct_ratio_df__3[[#This Row],[available]]-correct_ratio_df__3[[#This Row],[stable]]</f>
        <v>0</v>
      </c>
    </row>
    <row r="466" spans="1:12" x14ac:dyDescent="0.2">
      <c r="A466">
        <v>464</v>
      </c>
      <c r="B466" s="2" t="s">
        <v>65</v>
      </c>
      <c r="C466" s="2" t="s">
        <v>19</v>
      </c>
      <c r="D466" s="2" t="s">
        <v>18</v>
      </c>
      <c r="E466" s="2" t="s">
        <v>21</v>
      </c>
      <c r="F466" s="2" t="s">
        <v>32</v>
      </c>
      <c r="G466">
        <v>1</v>
      </c>
      <c r="H466" s="2" t="s">
        <v>30</v>
      </c>
      <c r="I466" s="2" t="s">
        <v>85</v>
      </c>
      <c r="J466">
        <v>1</v>
      </c>
      <c r="K466">
        <v>1</v>
      </c>
      <c r="L466">
        <f>correct_ratio_df__3[[#This Row],[available]]-correct_ratio_df__3[[#This Row],[stable]]</f>
        <v>0</v>
      </c>
    </row>
    <row r="467" spans="1:12" x14ac:dyDescent="0.2">
      <c r="A467">
        <v>465</v>
      </c>
      <c r="B467" s="2" t="s">
        <v>66</v>
      </c>
      <c r="C467" s="2" t="s">
        <v>14</v>
      </c>
      <c r="D467" s="2" t="s">
        <v>18</v>
      </c>
      <c r="E467" s="2" t="s">
        <v>15</v>
      </c>
      <c r="F467" s="2" t="s">
        <v>32</v>
      </c>
      <c r="G467">
        <v>0.66666666666666663</v>
      </c>
      <c r="H467" s="2" t="s">
        <v>30</v>
      </c>
      <c r="I467" s="2" t="s">
        <v>85</v>
      </c>
      <c r="J467">
        <v>1</v>
      </c>
      <c r="K467">
        <v>0</v>
      </c>
      <c r="L467">
        <f>correct_ratio_df__3[[#This Row],[available]]-correct_ratio_df__3[[#This Row],[stable]]</f>
        <v>1</v>
      </c>
    </row>
    <row r="468" spans="1:12" x14ac:dyDescent="0.2">
      <c r="A468">
        <v>466</v>
      </c>
      <c r="B468" s="2" t="s">
        <v>67</v>
      </c>
      <c r="C468" s="2" t="s">
        <v>9</v>
      </c>
      <c r="D468" s="2" t="s">
        <v>17</v>
      </c>
      <c r="E468" s="2" t="s">
        <v>21</v>
      </c>
      <c r="F468" s="2" t="s">
        <v>32</v>
      </c>
      <c r="G468">
        <v>1</v>
      </c>
      <c r="H468" s="2" t="s">
        <v>30</v>
      </c>
      <c r="I468" s="2" t="s">
        <v>85</v>
      </c>
      <c r="J468">
        <v>1</v>
      </c>
      <c r="K468">
        <v>1</v>
      </c>
      <c r="L468">
        <f>correct_ratio_df__3[[#This Row],[available]]-correct_ratio_df__3[[#This Row],[stable]]</f>
        <v>0</v>
      </c>
    </row>
    <row r="469" spans="1:12" x14ac:dyDescent="0.2">
      <c r="A469">
        <v>467</v>
      </c>
      <c r="B469" s="2" t="s">
        <v>68</v>
      </c>
      <c r="C469" s="2" t="s">
        <v>14</v>
      </c>
      <c r="D469" s="2" t="s">
        <v>17</v>
      </c>
      <c r="E469" s="2" t="s">
        <v>15</v>
      </c>
      <c r="F469" s="2" t="s">
        <v>32</v>
      </c>
      <c r="G469">
        <v>0.66666666666666663</v>
      </c>
      <c r="H469" s="2" t="s">
        <v>30</v>
      </c>
      <c r="I469" s="2" t="s">
        <v>85</v>
      </c>
      <c r="J469">
        <v>1</v>
      </c>
      <c r="K469">
        <v>0</v>
      </c>
      <c r="L469">
        <f>correct_ratio_df__3[[#This Row],[available]]-correct_ratio_df__3[[#This Row],[stable]]</f>
        <v>1</v>
      </c>
    </row>
    <row r="470" spans="1:12" x14ac:dyDescent="0.2">
      <c r="A470">
        <v>468</v>
      </c>
      <c r="B470" s="2" t="s">
        <v>69</v>
      </c>
      <c r="C470" s="2" t="s">
        <v>22</v>
      </c>
      <c r="D470" s="2" t="s">
        <v>17</v>
      </c>
      <c r="E470" s="2" t="s">
        <v>11</v>
      </c>
      <c r="F470" s="2" t="s">
        <v>32</v>
      </c>
      <c r="G470">
        <v>0</v>
      </c>
      <c r="H470" s="2" t="s">
        <v>30</v>
      </c>
      <c r="I470" s="2" t="s">
        <v>85</v>
      </c>
      <c r="J470">
        <v>0</v>
      </c>
      <c r="K470">
        <v>0</v>
      </c>
      <c r="L470">
        <f>correct_ratio_df__3[[#This Row],[available]]-correct_ratio_df__3[[#This Row],[stable]]</f>
        <v>0</v>
      </c>
    </row>
    <row r="471" spans="1:12" x14ac:dyDescent="0.2">
      <c r="A471">
        <v>469</v>
      </c>
      <c r="B471" s="2" t="s">
        <v>70</v>
      </c>
      <c r="C471" s="2" t="s">
        <v>9</v>
      </c>
      <c r="D471" s="2" t="s">
        <v>17</v>
      </c>
      <c r="E471" s="2" t="s">
        <v>15</v>
      </c>
      <c r="F471" s="2" t="s">
        <v>32</v>
      </c>
      <c r="G471">
        <v>0</v>
      </c>
      <c r="H471" s="2" t="s">
        <v>30</v>
      </c>
      <c r="I471" s="2" t="s">
        <v>85</v>
      </c>
      <c r="J471">
        <v>0</v>
      </c>
      <c r="K471">
        <v>0</v>
      </c>
      <c r="L471">
        <f>correct_ratio_df__3[[#This Row],[available]]-correct_ratio_df__3[[#This Row],[stable]]</f>
        <v>0</v>
      </c>
    </row>
    <row r="472" spans="1:12" x14ac:dyDescent="0.2">
      <c r="A472">
        <v>470</v>
      </c>
      <c r="B472" s="2" t="s">
        <v>71</v>
      </c>
      <c r="C472" s="2" t="s">
        <v>9</v>
      </c>
      <c r="D472" s="2" t="s">
        <v>17</v>
      </c>
      <c r="E472" s="2" t="s">
        <v>21</v>
      </c>
      <c r="F472" s="2" t="s">
        <v>32</v>
      </c>
      <c r="G472">
        <v>0</v>
      </c>
      <c r="H472" s="2" t="s">
        <v>30</v>
      </c>
      <c r="I472" s="2" t="s">
        <v>85</v>
      </c>
      <c r="J472">
        <v>0</v>
      </c>
      <c r="K472">
        <v>0</v>
      </c>
      <c r="L472">
        <f>correct_ratio_df__3[[#This Row],[available]]-correct_ratio_df__3[[#This Row],[stable]]</f>
        <v>0</v>
      </c>
    </row>
    <row r="473" spans="1:12" x14ac:dyDescent="0.2">
      <c r="A473">
        <v>471</v>
      </c>
      <c r="B473" s="2" t="s">
        <v>72</v>
      </c>
      <c r="C473" s="2" t="s">
        <v>19</v>
      </c>
      <c r="D473" s="2" t="s">
        <v>17</v>
      </c>
      <c r="E473" s="2" t="s">
        <v>11</v>
      </c>
      <c r="F473" s="2" t="s">
        <v>32</v>
      </c>
      <c r="G473">
        <v>0.33333333333333331</v>
      </c>
      <c r="H473" s="2" t="s">
        <v>30</v>
      </c>
      <c r="I473" s="2" t="s">
        <v>85</v>
      </c>
      <c r="J473">
        <v>1</v>
      </c>
      <c r="K473">
        <v>0</v>
      </c>
      <c r="L473">
        <f>correct_ratio_df__3[[#This Row],[available]]-correct_ratio_df__3[[#This Row],[stable]]</f>
        <v>1</v>
      </c>
    </row>
    <row r="474" spans="1:12" x14ac:dyDescent="0.2">
      <c r="A474">
        <v>472</v>
      </c>
      <c r="B474" s="2" t="s">
        <v>73</v>
      </c>
      <c r="C474" s="2" t="s">
        <v>16</v>
      </c>
      <c r="D474" s="2" t="s">
        <v>17</v>
      </c>
      <c r="E474" s="2" t="s">
        <v>11</v>
      </c>
      <c r="F474" s="2" t="s">
        <v>32</v>
      </c>
      <c r="G474">
        <v>1</v>
      </c>
      <c r="H474" s="2" t="s">
        <v>30</v>
      </c>
      <c r="I474" s="2" t="s">
        <v>85</v>
      </c>
      <c r="J474">
        <v>1</v>
      </c>
      <c r="K474">
        <v>1</v>
      </c>
      <c r="L474">
        <f>correct_ratio_df__3[[#This Row],[available]]-correct_ratio_df__3[[#This Row],[stable]]</f>
        <v>0</v>
      </c>
    </row>
    <row r="475" spans="1:12" x14ac:dyDescent="0.2">
      <c r="A475">
        <v>473</v>
      </c>
      <c r="B475" s="2" t="s">
        <v>74</v>
      </c>
      <c r="C475" s="2" t="s">
        <v>22</v>
      </c>
      <c r="D475" s="2" t="s">
        <v>17</v>
      </c>
      <c r="E475" s="2" t="s">
        <v>21</v>
      </c>
      <c r="F475" s="2" t="s">
        <v>32</v>
      </c>
      <c r="G475">
        <v>1</v>
      </c>
      <c r="H475" s="2" t="s">
        <v>30</v>
      </c>
      <c r="I475" s="2" t="s">
        <v>85</v>
      </c>
      <c r="J475">
        <v>1</v>
      </c>
      <c r="K475">
        <v>1</v>
      </c>
      <c r="L475">
        <f>correct_ratio_df__3[[#This Row],[available]]-correct_ratio_df__3[[#This Row],[stable]]</f>
        <v>0</v>
      </c>
    </row>
    <row r="476" spans="1:12" x14ac:dyDescent="0.2">
      <c r="A476">
        <v>474</v>
      </c>
      <c r="B476" s="2" t="s">
        <v>75</v>
      </c>
      <c r="C476" s="2" t="s">
        <v>14</v>
      </c>
      <c r="D476" s="2" t="s">
        <v>17</v>
      </c>
      <c r="E476" s="2" t="s">
        <v>21</v>
      </c>
      <c r="F476" s="2" t="s">
        <v>32</v>
      </c>
      <c r="G476">
        <v>1</v>
      </c>
      <c r="H476" s="2" t="s">
        <v>30</v>
      </c>
      <c r="I476" s="2" t="s">
        <v>85</v>
      </c>
      <c r="J476">
        <v>1</v>
      </c>
      <c r="K476">
        <v>1</v>
      </c>
      <c r="L476">
        <f>correct_ratio_df__3[[#This Row],[available]]-correct_ratio_df__3[[#This Row],[stable]]</f>
        <v>0</v>
      </c>
    </row>
    <row r="477" spans="1:12" x14ac:dyDescent="0.2">
      <c r="A477">
        <v>475</v>
      </c>
      <c r="B477" s="2" t="s">
        <v>76</v>
      </c>
      <c r="C477" s="2" t="s">
        <v>14</v>
      </c>
      <c r="D477" s="2" t="s">
        <v>10</v>
      </c>
      <c r="E477" s="2" t="s">
        <v>21</v>
      </c>
      <c r="F477" s="2" t="s">
        <v>32</v>
      </c>
      <c r="G477">
        <v>1</v>
      </c>
      <c r="H477" s="2" t="s">
        <v>30</v>
      </c>
      <c r="I477" s="2" t="s">
        <v>85</v>
      </c>
      <c r="J477">
        <v>1</v>
      </c>
      <c r="K477">
        <v>1</v>
      </c>
      <c r="L477">
        <f>correct_ratio_df__3[[#This Row],[available]]-correct_ratio_df__3[[#This Row],[stable]]</f>
        <v>0</v>
      </c>
    </row>
    <row r="478" spans="1:12" x14ac:dyDescent="0.2">
      <c r="A478">
        <v>476</v>
      </c>
      <c r="B478" s="2" t="s">
        <v>77</v>
      </c>
      <c r="C478" s="2" t="s">
        <v>9</v>
      </c>
      <c r="D478" s="2" t="s">
        <v>17</v>
      </c>
      <c r="E478" s="2" t="s">
        <v>15</v>
      </c>
      <c r="F478" s="2" t="s">
        <v>32</v>
      </c>
      <c r="G478">
        <v>0</v>
      </c>
      <c r="H478" s="2" t="s">
        <v>30</v>
      </c>
      <c r="I478" s="2" t="s">
        <v>85</v>
      </c>
      <c r="J478">
        <v>0</v>
      </c>
      <c r="K478">
        <v>0</v>
      </c>
      <c r="L478">
        <f>correct_ratio_df__3[[#This Row],[available]]-correct_ratio_df__3[[#This Row],[stable]]</f>
        <v>0</v>
      </c>
    </row>
    <row r="479" spans="1:12" x14ac:dyDescent="0.2">
      <c r="A479">
        <v>477</v>
      </c>
      <c r="B479" s="2" t="s">
        <v>78</v>
      </c>
      <c r="C479" s="2" t="s">
        <v>9</v>
      </c>
      <c r="D479" s="2" t="s">
        <v>17</v>
      </c>
      <c r="E479" s="2" t="s">
        <v>21</v>
      </c>
      <c r="F479" s="2" t="s">
        <v>32</v>
      </c>
      <c r="G479">
        <v>1</v>
      </c>
      <c r="H479" s="2" t="s">
        <v>30</v>
      </c>
      <c r="I479" s="2" t="s">
        <v>85</v>
      </c>
      <c r="J479">
        <v>1</v>
      </c>
      <c r="K479">
        <v>1</v>
      </c>
      <c r="L479">
        <f>correct_ratio_df__3[[#This Row],[available]]-correct_ratio_df__3[[#This Row],[stable]]</f>
        <v>0</v>
      </c>
    </row>
    <row r="480" spans="1:12" x14ac:dyDescent="0.2">
      <c r="A480">
        <v>478</v>
      </c>
      <c r="B480" s="2" t="s">
        <v>79</v>
      </c>
      <c r="C480" s="2" t="s">
        <v>14</v>
      </c>
      <c r="D480" s="2" t="s">
        <v>17</v>
      </c>
      <c r="E480" s="2" t="s">
        <v>11</v>
      </c>
      <c r="F480" s="2" t="s">
        <v>32</v>
      </c>
      <c r="G480">
        <v>0.33333333333333331</v>
      </c>
      <c r="H480" s="2" t="s">
        <v>30</v>
      </c>
      <c r="I480" s="2" t="s">
        <v>85</v>
      </c>
      <c r="J480">
        <v>1</v>
      </c>
      <c r="K480">
        <v>0</v>
      </c>
      <c r="L480">
        <f>correct_ratio_df__3[[#This Row],[available]]-correct_ratio_df__3[[#This Row],[stable]]</f>
        <v>1</v>
      </c>
    </row>
    <row r="481" spans="1:12" x14ac:dyDescent="0.2">
      <c r="A481">
        <v>479</v>
      </c>
      <c r="B481" s="2" t="s">
        <v>80</v>
      </c>
      <c r="C481" s="2" t="s">
        <v>22</v>
      </c>
      <c r="D481" s="2" t="s">
        <v>20</v>
      </c>
      <c r="E481" s="2" t="s">
        <v>11</v>
      </c>
      <c r="F481" s="2" t="s">
        <v>32</v>
      </c>
      <c r="G481">
        <v>0</v>
      </c>
      <c r="H481" s="2" t="s">
        <v>30</v>
      </c>
      <c r="I481" s="2" t="s">
        <v>85</v>
      </c>
      <c r="J481">
        <v>0</v>
      </c>
      <c r="K481">
        <v>0</v>
      </c>
      <c r="L481">
        <f>correct_ratio_df__3[[#This Row],[available]]-correct_ratio_df__3[[#This Row],[stable]]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E16003-2D09-F848-9A73-92C4F28D6C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correct_ratio_df</vt:lpstr>
      <vt:lpstr>model comparsion</vt:lpstr>
      <vt:lpstr>prompt comparsion</vt:lpstr>
      <vt:lpstr>stable and avaliable</vt:lpstr>
      <vt:lpstr>Sheet19</vt:lpstr>
      <vt:lpstr>correct_ratio_df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許家綸</dc:creator>
  <cp:lastModifiedBy>許家綸</cp:lastModifiedBy>
  <dcterms:created xsi:type="dcterms:W3CDTF">2024-05-23T03:48:46Z</dcterms:created>
  <dcterms:modified xsi:type="dcterms:W3CDTF">2024-06-26T14:32:45Z</dcterms:modified>
</cp:coreProperties>
</file>